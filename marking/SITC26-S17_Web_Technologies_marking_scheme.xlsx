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autoCompressPictures="0"/>
  <mc:AlternateContent>
    <mc:Choice Requires="x15">
      <x15ac:absPath xmlns:x15ac="http://schemas.microsoft.com/office/spreadsheetml/2010/11/ac" url="/Users/adam/git/CIS/src/main/resources/org/worldskills/cis/service/skill/"/>
    </mc:Choice>
  </mc:AlternateContent>
  <xr:revisionPtr revIDLastSave="0" documentId="13_ncr:1_{9CE4662E-C534-7A48-8AC9-72D297A8977A}" xr6:coauthVersionLast="47" xr6:coauthVersionMax="47" xr10:uidLastSave="{00000000-0000-0000-0000-000000000000}"/>
  <bookViews>
    <workbookView xWindow="15580" yWindow="-26720" windowWidth="28040" windowHeight="17440" xr2:uid="{00000000-000D-0000-FFFF-FFFF00000000}"/>
  </bookViews>
  <sheets>
    <sheet name="CIS Marking Scheme Import" sheetId="1" r:id="rId1"/>
    <sheet name="Calculations" sheetId="6" r:id="rId2"/>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<sst xmlns="http://schemas.openxmlformats.org/spreadsheetml/2006/main" count="3481" uniqueCount="756">
  <si>
    <t>Mark</t>
  </si>
  <si>
    <t>Aspect - Description</t>
  </si>
  <si>
    <t>Judg Score</t>
  </si>
  <si>
    <t>Max
Mark</t>
  </si>
  <si>
    <t>Total
Mark</t>
  </si>
  <si>
    <t>Competition</t>
  </si>
  <si>
    <t>Aspect
Type
M = Meas
J = Judg</t>
  </si>
  <si>
    <t>Criterion A</t>
  </si>
  <si>
    <t>Extra Aspect Description (Meas or Judg)
OR
Judgement Score Description (Judg only)</t>
  </si>
  <si>
    <t>Requirement
(Measurement Only)</t>
  </si>
  <si>
    <t>Day of Marking</t>
  </si>
  <si>
    <t>Calculation Row 
(Export only)</t>
  </si>
  <si>
    <t>Section</t>
  </si>
  <si>
    <t>Name</t>
  </si>
  <si>
    <t>Aspect Marks</t>
  </si>
  <si>
    <t>Sub
Criterion
ID</t>
  </si>
  <si>
    <t>Sub Criterion
Name or Description</t>
  </si>
  <si>
    <t>Criteria</t>
  </si>
  <si>
    <t>Variation</t>
  </si>
  <si>
    <t>ID</t>
  </si>
  <si>
    <t>Total Variation</t>
  </si>
  <si>
    <t>WorldSkills Occupational Standards</t>
  </si>
  <si>
    <t>WSOS Marks</t>
  </si>
  <si>
    <t>WSOS Section</t>
  </si>
  <si>
    <t>SITC26-S17 Web Technologies</t>
  </si>
  <si>
    <t>Work organization and management</t>
  </si>
  <si>
    <t>Communication and interpersonal skills</t>
  </si>
  <si>
    <t>Design implementation</t>
  </si>
  <si>
    <t>Front-end development</t>
  </si>
  <si>
    <t>Back-end development</t>
  </si>
  <si>
    <t>A</t>
  </si>
  <si>
    <t>Module A</t>
  </si>
  <si>
    <t>B</t>
  </si>
  <si>
    <t>Module B</t>
  </si>
  <si>
    <t>C</t>
  </si>
  <si>
    <t>Module C</t>
  </si>
  <si>
    <t>D</t>
  </si>
  <si>
    <t>Module D</t>
  </si>
  <si>
    <t>E</t>
  </si>
  <si>
    <t>Module E</t>
  </si>
  <si>
    <t>F</t>
  </si>
  <si>
    <t>Module F</t>
  </si>
  <si>
    <t>G</t>
  </si>
  <si>
    <t>Module G</t>
  </si>
  <si>
    <t>H</t>
  </si>
  <si>
    <t>I</t>
  </si>
  <si>
    <t>A1</t>
  </si>
  <si>
    <t>Project structure and index</t>
  </si>
  <si>
    <t/>
  </si>
  <si>
    <t>1</t>
  </si>
  <si>
    <t>M</t>
  </si>
  <si>
    <t>Mini Test Projects are in separate self-contained folders A1, A2, A3, B1, B2, B3, C1, and C2</t>
  </si>
  <si>
    <t>Test: Open the submission root. Confirm folders A1, A2, A3, B1, B2, B3, C1, and C2 exist, each holds that mini Test Project’s files, and there are no extra unrelated mini-project folders.</t>
  </si>
  <si>
    <t>At least one git commit exists for each of the eight mini Test Projects</t>
  </si>
  <si>
    <t>Test: Run git log --oneline in the submission. Pass if there is at least one commit attributable to each of A1, A2, A3, B1, B2, B3, C1, and C2 (message and/or changed paths).</t>
  </si>
  <si>
    <t>Index page links to every mini Test Project</t>
  </si>
  <si>
    <t>Test: Open index.html in Google Chrome. Follow each link and confirm A1, A2, A3, B1, B2, B3, C1, and C2 load (C1 and C2 may require php -S from that folder or the submission root).</t>
  </si>
  <si>
    <t>Index page shows a thumbnail for each mini Test Project</t>
  </si>
  <si>
    <t>Test: On the index page, each of the eight mini Test Projects has a visible thumbnail image or graphic preview.</t>
  </si>
  <si>
    <t>Index page shows a title for each mini Test Project</t>
  </si>
  <si>
    <t>Test: On the index page, each of the eight mini Test Projects has a readable title (for example Floating Label, Turntable).</t>
  </si>
  <si>
    <t>J</t>
  </si>
  <si>
    <t>Git commit messages are readable and easy to understand</t>
  </si>
  <si>
    <t>Commit messages are missing, one-word placeholders such as “update”, or do not describe the change.</t>
  </si>
  <si>
    <t>Messages are short single lines that name the mini Test Project but do not explain what was implemented.</t>
  </si>
  <si>
    <t>Messages name the mini Test Project and the change, but wording is vague, repeated, or hard to follow without reading the diff.</t>
  </si>
  <si>
    <t>Each relevant commit has a clear subject (and body if needed) so a reader can tell what was implemented without opening the diff.</t>
  </si>
  <si>
    <t>A2</t>
  </si>
  <si>
    <t>A1 Floating Label</t>
  </si>
  <si>
    <t>Empty unfocused input shows the label inside the field</t>
  </si>
  <si>
    <t>Test: Open A1 in Chrome. With the field empty and not focused, the label sits inside the input, matching assets/A1/input.mp4. No JavaScript is required.</t>
  </si>
  <si>
    <t>On focus the label moves to the top edge and becomes smaller</t>
  </si>
  <si>
    <t>Test: Click or tab into the empty input. The label animates to the top edge of the field, becomes smaller, and changes colour. HTML/CSS only.</t>
  </si>
  <si>
    <t>Label stays floating after blur when the input contains text</t>
  </si>
  <si>
    <t>Test: Type text, then click outside the field. The label remains in the floating position. Clear the text and blur again: the label returns inside the field.</t>
  </si>
  <si>
    <t>A3</t>
  </si>
  <si>
    <t>A2 Progress Animation</t>
  </si>
  <si>
    <t>A progress bar is fixed at the top of the viewport on the provided page</t>
  </si>
  <si>
    <t>Test: Open A2 (based on assets/A2/index.html). A bar is visible in a fixed position at the top of the viewport. No JavaScript is used for the effect.</t>
  </si>
  <si>
    <t>Progress bar width is 0% when the page is scrolled to the top</t>
  </si>
  <si>
    <t>Test: Scroll to the very top. The bar width is 0% (not filled).</t>
  </si>
  <si>
    <t>Progress bar reaches 100% at the bottom and follows scroll in between</t>
  </si>
  <si>
    <t>Test: Scroll through the page. The bar grows with scroll position and is 100% wide at the bottom.</t>
  </si>
  <si>
    <t>A4</t>
  </si>
  <si>
    <t>A3 3D Can Rotation Effect</t>
  </si>
  <si>
    <t>The can is displayed in the centre with the wrapper on top</t>
  </si>
  <si>
    <t>Test: Open A3. A can is centred on the screen. The wrapper image (assets/A3/wrapping.png) sits on top of the can mockup (assets/A3/can-mockup.png). HTML/CSS only.</t>
  </si>
  <si>
    <t>Page background uses the specified radial gradient</t>
  </si>
  <si>
    <t>Test: Inspect computed/background CSS. Background is radial-gradient(at 50%, #081718 -20%, #28aeb4 90%) or a visually matching equivalent.</t>
  </si>
  <si>
    <t>The wrapper is correctly applied to the can</t>
  </si>
  <si>
    <t>Test: Compare with assets/A3/example.mov. The wrapping graphic follows the can shape (masked or mapped onto the mockup), not a flat rectangle beside it.</t>
  </si>
  <si>
    <t>Hovering the can plays the rotation and scaling animation</t>
  </si>
  <si>
    <t>Test: Hover the can. It rotates and scales as in the example video. The effect is CSS-only (no JavaScript).</t>
  </si>
  <si>
    <t>A5</t>
  </si>
  <si>
    <t>B1 World's Tallest Buildings</t>
  </si>
  <si>
    <t>All buildings from the provided data are rendered on the page</t>
  </si>
  <si>
    <t>Test: Open B1. Five towers from assets/B1/buildings.js appear: Burj Khalifa, Merdeka 118, Canton Tower, Taipei 101, Oriental Pearl Tower, using the images in assets/B1/towers/.</t>
  </si>
  <si>
    <t>Buildings are aligned to the bottom of the page as a skyline</t>
  </si>
  <si>
    <t>Test: The towers stand side by side with their bases on a common bottom line (bottom of the page/viewport).</t>
  </si>
  <si>
    <t>Buildings are sorted tallest-first and scaled with the tallest at 800px</t>
  </si>
  <si>
    <t>Test: Left-to-right (or document order) is tallest first: Burj Khalifa (828 m) is 800px tall. Others keep aspect ratio and scale by height/828 (Merdeka 118 ≈ 656px, Canton Tower ≈ 584px, Taipei 101 ≈ 491px, Oriental Pearl ≈ 452px). Allow a few pixels of rounding.</t>
  </si>
  <si>
    <t>A6</t>
  </si>
  <si>
    <t>B2 Turntable</t>
  </si>
  <si>
    <t>Pressing the platter starts playback of a provided audio track</t>
  </si>
  <si>
    <t>Test: Open B2 (starter HTML/CSS/images/audio). Click .wheel. One of DrunkonSoju.wav or LostSomewhere.wav starts playing. No server is required.</t>
  </si>
  <si>
    <t>Platter rotates while the song is playing</t>
  </si>
  <si>
    <t>Test: Start playback. The platter (.wheel) rotates, matching assets/B2/video/turntable.mp4.</t>
  </si>
  <si>
    <t>Tone-arm moves above the platter while the song is playing</t>
  </si>
  <si>
    <t>Test: Start playback. The tone-arm moves over the platter as in the reference video.</t>
  </si>
  <si>
    <t>Off button stops the song and returns platter and tone-arm to the rest state</t>
  </si>
  <si>
    <t>Test: Start playback, then click Off. Audio stops. Platter rotation and tone-arm return to the original rest state.</t>
  </si>
  <si>
    <t>Volume control ranges from 0 to 1 and changes the playback volume</t>
  </si>
  <si>
    <t>Test: While a track plays, move the volume range. Min is 0, max is 1. Audible level changes with the control.</t>
  </si>
  <si>
    <t>Next button switches to the other provided audio track</t>
  </si>
  <si>
    <t>Test: Play a track, then click &gt;&gt;. Playback switches between DrunkonSoju.wav and LostSomewhere.wav.</t>
  </si>
  <si>
    <t>When a song ends, the tone-arm returns to its original state</t>
  </si>
  <si>
    <t>Test: Seek near the end of a track or wait until it finishes. The tone-arm animation returns to the rest position.</t>
  </si>
  <si>
    <t>A7</t>
  </si>
  <si>
    <t>B3 Lines and Dots Animation</t>
  </si>
  <si>
    <t>Forty dots appear with random position, size, and colour from the provided array</t>
  </si>
  <si>
    <t>Test: Open B3 (starter in assets/B3/index.html). Count about 40 dots. Colours are from ["#47C2E3", "#FEC85B", "#0064A8", "#1cc8cf"]. Reload: positions, sizes, and colours randomise again.</t>
  </si>
  <si>
    <t>Moving the cursor produces the lines-and-dots animation from the example video</t>
  </si>
  <si>
    <t>Test: Move the pointer around the page. Lines and dots react as in assets/B3/example.mov (no server required).</t>
  </si>
  <si>
    <t>A8</t>
  </si>
  <si>
    <t>C1 Registration Form Validation</t>
  </si>
  <si>
    <t>Form loads with empty fields and no validation feedback</t>
  </si>
  <si>
    <t>Test: php -S localhost:8080 from C1 (or the submission root). Open the form. First name, Last name, and the checkbox are empty/unchecked. No “Looks good!” or error messages are shown yet.</t>
  </si>
  <si>
    <t>Server-side name validation uses a–z/A–Z only and the required messages</t>
  </si>
  <si>
    <t>Test: Submit first name “Jane” and last name “1234”. Valid field shows “Looks good!”. Invalid field shows “Please provide a valid name.”. Repeat with a POST of invalid data (curl or DevTools) to confirm rejection is server-side, not only HTML required/pattern.</t>
  </si>
  <si>
    <t>Unchecked checkbox shows the required message; all-valid submit displays Success</t>
  </si>
  <si>
    <t>Test: Valid names, checkbox off → “You must agree before submitting.”. Valid names plus checked checkbox → page displays “Success”.</t>
  </si>
  <si>
    <t>A9</t>
  </si>
  <si>
    <t>C2 API Request Logger</t>
  </si>
  <si>
    <t>Endpoint accepts POST with Content-Type application/json</t>
  </si>
  <si>
    <t>Test: php -S from C2. POST the URL from README.txt with header Content-Type: application/json and body {"message":"hello"}. Response is success (2xx).</t>
  </si>
  <si>
    <t>Each accepted call is stored in a separate file in the log folder</t>
  </si>
  <si>
    <t>Test: Send two successful POSTs. Two distinct new files appear in the log folder named in README.txt.</t>
  </si>
  <si>
    <t>Log file name uses the HH-MM-SS-request.txt format</t>
  </si>
  <si>
    <t>Test: Compare the new file name to the time of the POST. It matches HH-MM-SS-request.txt (hour-minute-second, hyphens, not colons).</t>
  </si>
  <si>
    <t>Stored log file contains the received JSON payload</t>
  </si>
  <si>
    <t>Test: Open the file created by the hello POST. It contains the JSON body (at least {"message":"hello"}).</t>
  </si>
  <si>
    <t>Non-POST or non-JSON requests are rejected with an appropriate HTTP status</t>
  </si>
  <si>
    <t>Test: GET the endpoint → 4xx/405. POST with Content-Type text/plain (or no JSON type) → 4xx/415. No new success log file is created for those calls.</t>
  </si>
  <si>
    <t>README.txt documents the URL to call and where log files are stored</t>
  </si>
  <si>
    <t>Test: Open C2/README.txt. It states the URL (or path) to POST and the folder where HH-MM-SS-request.txt files are written.</t>
  </si>
  <si>
    <t>Criterion B</t>
  </si>
  <si>
    <t>B1</t>
  </si>
  <si>
    <t>Project setup and organization</t>
  </si>
  <si>
    <t>Application runs against the provided swaploop_admin MySQL seed</t>
  </si>
  <si>
    <t>Test: Import assets/db/swaploop_admin.sql into MySQL database swaploop_admin and start the app. Seeded staff accounts (e.g. admin@swaploop.test / password123) can be used for sign-in.</t>
  </si>
  <si>
    <t>Server-side project structure and maintainability</t>
  </si>
  <si>
    <t>Code is unstructured; unclear separation of routes, views, and data access</t>
  </si>
  <si>
    <t>Basic folder structure exists but naming and layering are inconsistent</t>
  </si>
  <si>
    <t>Clear SSR project layout with sensible separation of routes/controllers, views, and data access</t>
  </si>
  <si>
    <t>Excellent modular structure, consistent patterns, and easy-to-follow server-rendered architecture</t>
  </si>
  <si>
    <t>B2</t>
  </si>
  <si>
    <t>Authentication and session</t>
  </si>
  <si>
    <t>Staff can sign in with email and password using a server-side session</t>
  </si>
  <si>
    <t>Test: Sign in as admin@swaploop.test with password123. Authentication verifies the seeded bcrypt password_hash in staff_users (no other hashing algorithm) and subsequent requests stay authenticated via cookie/session.</t>
  </si>
  <si>
    <t>Invalid credentials show a clear error message</t>
  </si>
  <si>
    <t>Test: Submit a wrong password for a known email. A clear error is shown and no session is created.</t>
  </si>
  <si>
    <t>Suspended accounts cannot sign in</t>
  </si>
  <si>
    <t>Test: Sign in as suspended.admin@swaploop.test with password123. Sign-in fails and no authenticated session is created.</t>
  </si>
  <si>
    <t>Suspended sign-in shows a distinct suspended message</t>
  </si>
  <si>
    <t>Test: Attempt suspended.admin@swaploop.test / password123. The message is distinct from a generic invalid-credentials error.</t>
  </si>
  <si>
    <t>Signed-in users can sign out</t>
  </si>
  <si>
    <t>Test: Sign in, then sign out. The session ends and protected pages require login again.</t>
  </si>
  <si>
    <t>B3</t>
  </si>
  <si>
    <t>Application shell, navigation, and access control</t>
  </si>
  <si>
    <t>Shell shows SwapLoop Admin, current user name and role, and a sign-out control</t>
  </si>
  <si>
    <t>Test: After login, the signed-in chrome shows product name SwapLoop Admin, the current user's name and role, and a working sign-out control.</t>
  </si>
  <si>
    <t>Successful sign-in redirects the user to the Dashboard page</t>
  </si>
  <si>
    <t>Test: Submit valid credentials from the sign-in page. Authentication succeeds and the user is redirected to the role-appropriate Dashboard page.</t>
  </si>
  <si>
    <t>Navigation is limited to what the signed-in role may use</t>
  </si>
  <si>
    <t>Test: Compare nav for PLATFORM_ADMIN, FLEET_MANAGER, STATION_ADMIN, and ACCOUNTANT against the Allowed areas table. Only permitted destinations appear.</t>
  </si>
  <si>
    <t>Dashboard summarises counts relevant to the signed-in role</t>
  </si>
  <si>
    <t>Test: PLATFORM_ADMIN sees network-wide counts; FLEET_MANAGER own partner; STATION_ADMIN assigned stations/units; ACCOUNTANT a finance entry point.</t>
  </si>
  <si>
    <t>Unauthenticated visitors only reach the login experience</t>
  </si>
  <si>
    <t>Test: Open a protected URL while signed out. The app shows login and does not render protected admin content.</t>
  </si>
  <si>
    <t>Role scopes are enforced server-side on lists and mutations</t>
  </si>
  <si>
    <t>Test: As FLEET_MANAGER, STATION_ADMIN, and ACCOUNTANT, attempt out-of-scope list/create/edit URLs or form posts. Actions fail even if UI controls are bypassed; ACCOUNTANT finance is read-only.</t>
  </si>
  <si>
    <t>Cross-scope requests show access-denied and hide foreign data</t>
  </si>
  <si>
    <t>Test: Open another partner's or station's resource as a scoped role. Access-denied wireframe appears and lists never include foreign rows.</t>
  </si>
  <si>
    <t>B4</t>
  </si>
  <si>
    <t>Staff user management</t>
  </si>
  <si>
    <t>PLATFORM_ADMIN can create and edit staff accounts with password rules</t>
  </si>
  <si>
    <t>Test: Create a staff user with a password — the stored password_hash is bcrypt. Edit the same user leaving password blank — existing hash remains and the account still signs in with the old password.</t>
  </si>
  <si>
    <t>Staff role, partner, and station assignment rules are enforced</t>
  </si>
  <si>
    <t>Test: Assign exactly one of the four roles. Fleet managers require a partner; other roles must not carry one. Station admins require at least one station assignment; other roles must not carry station assignments.</t>
  </si>
  <si>
    <t>A platform admin cannot suspend their own account</t>
  </si>
  <si>
    <t>Test: Sign in as a PLATFORM_ADMIN and attempt to suspend the same account. The update is rejected and the account remains active.</t>
  </si>
  <si>
    <t>B5</t>
  </si>
  <si>
    <t>Stations and units</t>
  </si>
  <si>
    <t>Station lifecycle transitions are enforced</t>
  </si>
  <si>
    <t>Test: Exercise PLANNED→ACTIVE/DECOMMISSIONED, ACTIVE→SUSPENDED/DECOMMISSIONED, and SUSPENDED→ACTIVE/DECOMMISSIONED. DECOMMISSIONED accepts no further changes. New stations start only as PLANNED or ACTIVE.</t>
  </si>
  <si>
    <t>Station suspension reasons follow the status rules</t>
  </si>
  <si>
    <t>Test: Set a station to SUSPENDED without a reason and confirm the update is rejected. Set a reason and confirm it succeeds. Change to a non-suspended status and confirm no suspension reason is retained.</t>
  </si>
  <si>
    <t>Only PLATFORM_ADMIN may create stations; STATION_ADMIN is limited to assigned stations</t>
  </si>
  <si>
    <t>Test: STATION_ADMIN cannot create stations and can only list/edit assigned stations. PLATFORM_ADMIN can create and manage any station.</t>
  </si>
  <si>
    <t>Unit type fields follow compatibility rules</t>
  </si>
  <si>
    <t>Test: Create or edit a SWAP_BAY and confirm battery_type is required while connector_type is rejected. For a BIKE_BAY, confirm connector_type is required while battery_type is rejected.</t>
  </si>
  <si>
    <t>Unit labels are unique within each station</t>
  </si>
  <si>
    <t>Test: Create two units with the same label in one station and confirm the duplicate is rejected. Confirm the same label can be used at a different station.</t>
  </si>
  <si>
    <t>Station type limits which unit types it may contain</t>
  </si>
  <si>
    <t>Test: Confirm SWAP stations accept only SWAP_BAY units, CHARGING stations accept only BIKE_BAY units, and HYBRID stations accept both types.</t>
  </si>
  <si>
    <t>Blocked units require a reason</t>
  </si>
  <si>
    <t>Test: Set a unit to BLOCKED without a reason and confirm the update is rejected. Provide a reason and confirm the update succeeds.</t>
  </si>
  <si>
    <t>B6</t>
  </si>
  <si>
    <t>Partners and drivers</t>
  </si>
  <si>
    <t>PLATFORM_ADMIN can manage partners with a subscription plan from the database</t>
  </si>
  <si>
    <t>Test: Create/edit a partner (name, status, contact, fleet size) and assign a subscription plan loaded from the seed — not hard-coded plan ids in source.</t>
  </si>
  <si>
    <t>Drivers are scoped by role with unique employee code and email</t>
  </si>
  <si>
    <t>Test: PLATFORM_ADMIN manages all drivers; FLEET_MANAGER only own partner. Employee code unique per partner; email unique; status active/suspended.</t>
  </si>
  <si>
    <t>B7</t>
  </si>
  <si>
    <t>Partner billing and finance report</t>
  </si>
  <si>
    <t>Billing summary aggregates usage_events for the selected Asia/Shanghai calendar month</t>
  </si>
  <si>
    <t>Test: Open billing for a seeded partner and a month that has usage_events. Completed-use count matches events whose completed_at falls in that Asia/Shanghai calendar month. PLATFORM_ADMIN any partner; FLEET_MANAGER own only.</t>
  </si>
  <si>
    <t>Billing applies plan base fee, quota, overage, and volume discount from the database</t>
  </si>
  <si>
    <t>Test: Fees, quota, overage rate, and matching discount tier come from subscription_plans / discount_tiers. Discount reduces overage only; base fee stays undiscounted. Amounts are whole CNY yuan.</t>
  </si>
  <si>
    <t>Billing breakdown shows partner, period, plan, uses, quota, overage, fees, discount, and total</t>
  </si>
  <si>
    <t>Test: On the billing summary screen, all listed fields are visible and match the calculated values for the selected partner and month.</t>
  </si>
  <si>
    <t>Finance report table has one row per partner plus a network total matching billing rules</t>
  </si>
  <si>
    <t>Test: As ACCOUNTANT or PLATFORM_ADMIN, open finance for a month. Each partner row matches that partner's billing summary fields; a network total is shown.</t>
  </si>
  <si>
    <t>Finance report includes a vertical bar chart without an external chart library</t>
  </si>
  <si>
    <t>Test: Chart shows each partner's total for the month. Implementation uses SVG/canvas or equivalent without a third-party chart library.</t>
  </si>
  <si>
    <t>Finance CSV export is UTF-8 with header row, deterministic columns, and period in the filename</t>
  </si>
  <si>
    <t>Test: Export CSV for a selected month. File is UTF-8, includes a header row, column order is stable, and the filename identifies the billing period.</t>
  </si>
  <si>
    <t>B8</t>
  </si>
  <si>
    <t>List pages, forms, and accessibility</t>
  </si>
  <si>
    <t>Index lists support filtering, page size 10, and distinct empty states</t>
  </si>
  <si>
    <t>Test: On staff, stations, units, partners, and drivers indexes: filters work; pagination uses page size 10; empty-in-scope differs from no-filter-matches.</t>
  </si>
  <si>
    <t>Invalid form submissions show field-level errors from server-side validation</t>
  </si>
  <si>
    <t>Test: Submit an invalid create/edit form (e.g. missing required field). Server-side validation returns the form with field-level errors.</t>
  </si>
  <si>
    <t>Form controls have labels; status and errors are understandable without colour alone</t>
  </si>
  <si>
    <t>Test: Forms expose associated labels. Status values and validation errors include text (or equivalent non-colour cue), not colour alone.</t>
  </si>
  <si>
    <t>Form focus order follows the provided wireframes</t>
  </si>
  <si>
    <t>Test: Use only Tab and Shift+Tab on the primary create and edit forms. Focus moves through controls in the same logical order as their placement in the corresponding wireframes, without skipping or trapping interactive elements.</t>
  </si>
  <si>
    <t>B9</t>
  </si>
  <si>
    <t>Design, wireframe fidelity, and UX</t>
  </si>
  <si>
    <t>Screen layouts match the provided wireframes</t>
  </si>
  <si>
    <t>Layouts ignore wireframes; major screens missing or unrelated</t>
  </si>
  <si>
    <t>Some screens loosely follow wireframes but field placement and structure often diverge</t>
  </si>
  <si>
    <t>Primary screens follow wireframe structure and field placement with minor gaps</t>
  </si>
  <si>
    <t>Layouts consistently match wireframes across shell, lists, forms, billing, and finance</t>
  </si>
  <si>
    <t>Overall visual design quality and usability of the admin console</t>
  </si>
  <si>
    <t>Poor visual hierarchy; workflows are hard to follow</t>
  </si>
  <si>
    <t>Basic usable UI with uneven spacing, typography, or navigation clarity</t>
  </si>
  <si>
    <t>Clear hierarchy and usable primary workflows across roles</t>
  </si>
  <si>
    <t>Polished, consistent admin UX with strong hierarchy and efficient role workflows</t>
  </si>
  <si>
    <t>Criterion C</t>
  </si>
  <si>
    <t>C1</t>
  </si>
  <si>
    <t>Project setup and health</t>
  </si>
  <si>
    <t>A1 - GET /health returns 200 with status ok</t>
  </si>
  <si>
    <t>Bruno: tools/A1 - health.yml.</t>
  </si>
  <si>
    <t>A2 - API runs against the provided swaploop_db.sql seed identities</t>
  </si>
  <si>
    <t>Bruno: auth/B1 - login.yml — seed rider lin.xiaoyu@swaploop.test / password123 returns token sl_tok_rider-001.</t>
  </si>
  <si>
    <t>A3 - Station Service POST /reset restores the Module C MySQL seed</t>
  </si>
  <si>
    <t>Bruno: auth/A3 - reset.yml — POST {{stationServiceBaseUrl}}/reset → 200, body.status === "ok". Main Backend must not require its own /reset.</t>
  </si>
  <si>
    <t>C2</t>
  </si>
  <si>
    <t>Authentication and registration</t>
  </si>
  <si>
    <t>B1 - POST /auth/login returns 200 with opaque token for a seed rider</t>
  </si>
  <si>
    <t>Bruno: auth/B1 - login.yml — body.token is string sl_tok_rider-001.</t>
  </si>
  <si>
    <t>B2 - POST /auth/login rejects suspended accounts with 403 FORBIDDEN</t>
  </si>
  <si>
    <t>Bruno: auth/B2 - login-suspended.yml.</t>
  </si>
  <si>
    <t>B3 - POST /auth/login rejects invalid credentials with 401 UNAUTHORIZED</t>
  </si>
  <si>
    <t>Bruno: auth/B3 - login-invalid.yml.</t>
  </si>
  <si>
    <t>B4 - POST /auth/register creates SWAPPABLE rider and returns 201 with token</t>
  </si>
  <si>
    <t>Bruno: auth/B4 - register.yml — SWAPPABLE + batteryType SL-48 → 201, non-empty token.</t>
  </si>
  <si>
    <t>B5 - POST /auth/register creates INTEGRATED rider and returns 201 with token</t>
  </si>
  <si>
    <t>Bruno: auth/B5 - register-integrated.yml — INTEGRATED + connectorType GB-AC-48 → 201, token.</t>
  </si>
  <si>
    <t>B6 - POST /auth/register rejects duplicate email with 409 CONFLICT</t>
  </si>
  <si>
    <t>Bruno: auth/B6 - register-conflict.yml.</t>
  </si>
  <si>
    <t>B7 - POST /auth/register rejects invalid batteryMode/type combo with 422 VALIDATION_ERROR</t>
  </si>
  <si>
    <t>Bruno: auth/B7 - register-invalid-combo.yml.</t>
  </si>
  <si>
    <t>B8 - GET /me without Authorization or with unknown token returns 401 UNAUTHORIZED</t>
  </si>
  <si>
    <t>Bruno: user/B8 - user-details-without-token.yml and user/B8 - user-details-with-invalid-token.yml.</t>
  </si>
  <si>
    <t>C3</t>
  </si>
  <si>
    <t>Rider profile</t>
  </si>
  <si>
    <t>C1 - GET /me returns SWAPPABLE rider profile fields</t>
  </si>
  <si>
    <t>Bruno: user/C1 - user-details.yml — rider-001, SWAPPABLE, batteryType SL-48, connectorType null.</t>
  </si>
  <si>
    <t>C2 - GET /me returns INTEGRATED rider profile fields</t>
  </si>
  <si>
    <t>Bruno: user/C2 - user-details-integrated.yml — rider-002, INTEGRATED, connectorType GB-AC-48, batteryType null, voltageClass 48V.</t>
  </si>
  <si>
    <t>C3 - GET /me rejects suspended token with 403 FORBIDDEN</t>
  </si>
  <si>
    <t>Bruno: user/C3 - user-details-suspended.yml.</t>
  </si>
  <si>
    <t>C4 - PATCH /me updates displayable profile fields</t>
  </si>
  <si>
    <t>Bruno: user/C4 - update-profile.yml.</t>
  </si>
  <si>
    <t>C5 - PATCH /me rejects invalid profile changes with 422 VALIDATION_ERROR</t>
  </si>
  <si>
    <t>Bruno: user/C5 - update-profile-validation.yml.</t>
  </si>
  <si>
    <t>C4</t>
  </si>
  <si>
    <t>Station discovery</t>
  </si>
  <si>
    <t>D1 - GET /stations returns the station list</t>
  </si>
  <si>
    <t>Bruno: stations/D1 - stations.yml.</t>
  </si>
  <si>
    <t>D2 - GET /stations supports nearby ordering by lat/lng</t>
  </si>
  <si>
    <t>Bruno: stations/D2 - stations-nearby.yml.</t>
  </si>
  <si>
    <t>D3 - GET /stations filters compatible SWAP stations for the rider</t>
  </si>
  <si>
    <t>Bruno: stations/D3 - stations-compatible-swap.yml.</t>
  </si>
  <si>
    <t>D4 - GET /stations filters compatible BIKE_BAY stations for the rider</t>
  </si>
  <si>
    <t>Bruno: stations/D4 - stations-compatible-bike-bay.yml.</t>
  </si>
  <si>
    <t>D5 - GET /stations/{id} returns detail with compatibility</t>
  </si>
  <si>
    <t>Bruno: stations/D5 - station-detail.yml — station-001 HYBRID; compatibility includes SWAP, BIKE_BAY, SL-48, GB-AC-48, 48V.</t>
  </si>
  <si>
    <t>D6 - GET /stations/{id} unknown id returns 404 NOT_FOUND</t>
  </si>
  <si>
    <t>Bruno: stations/D6 - station-detail-not-found.yml.</t>
  </si>
  <si>
    <t>D7 - GET /stations includes riderAvailability for SWAPPABLE rider</t>
  </si>
  <si>
    <t>Bruno: stations/D7 - stations-rider-availability.yml.</t>
  </si>
  <si>
    <t>D8 - GET /stations/{id} includes riderAvailability for SWAPPABLE rider</t>
  </si>
  <si>
    <t>Bruno: stations/D8 - station-detail-rider-availability.yml.</t>
  </si>
  <si>
    <t>D9 - GET /stations/{id} includes riderAvailability for INTEGRATED rider</t>
  </si>
  <si>
    <t>Bruno: stations/D9 - station-detail-rider-availability-integrated.yml.</t>
  </si>
  <si>
    <t>C5</t>
  </si>
  <si>
    <t>Swap service lifecycle</t>
  </si>
  <si>
    <t>E1 - POST /services creates a RESERVED SWAP hold</t>
  </si>
  <si>
    <t>Bruno: services/E1 - create-swap-service.yml — 201, type SWAP, state RESERVED, unitId and expiresAt set.</t>
  </si>
  <si>
    <t>E2 - POST /services rejects incompatible vehicle profile for SWAP</t>
  </si>
  <si>
    <t>Bruno: services/E2 - create-swap-wrong-profile.yml — INTEGRATED rider requesting SWAP → 422.</t>
  </si>
  <si>
    <t>E3 - GET /services/{id} returns the reserved swap for the owner</t>
  </si>
  <si>
    <t>Bruno: services/E3 - get-service.yml.</t>
  </si>
  <si>
    <t>E4 - POST /services while rider has an active hold returns 409 CONFLICT</t>
  </si>
  <si>
    <t>Bruno: services/E4 - create-second-active-conflict.yml — second create while RESERVED → 409.</t>
  </si>
  <si>
    <t>E5 - POST /services/{id}/start moves SWAP from RESERVED to STARTED</t>
  </si>
  <si>
    <t>Bruno: services/E5 - start-swap-service.yml.</t>
  </si>
  <si>
    <t>E6 - POST /services/{id}/start is idempotent when already STARTED</t>
  </si>
  <si>
    <t>Bruno: services/E6 - start-swap-idempotent.yml — second start → 200, state remains STARTED.</t>
  </si>
  <si>
    <t>E7 - POST /services/{id}/start rejects non-owner with 403 FORBIDDEN</t>
  </si>
  <si>
    <t>Bruno: services/E7 - start-swap-non-owner.yml.</t>
  </si>
  <si>
    <t>E8 - POST /services/{id}/confirm completes SWAP with inventory exchange and PAYG snapshot</t>
  </si>
  <si>
    <t>Bruno: services/E8 - confirm-swap-service.yml and services/E8 - confirm-swap-me-battery.yml — state CONFIRMED, batteryInId battery-101, priceYuan 5, priceCode SWAP_SL-48; GET /me currentBatteryId updates.</t>
  </si>
  <si>
    <t>E9 - POST /services/{id}/confirm from RESERVED without start returns 409 CONFLICT</t>
  </si>
  <si>
    <t>Bruno: services/E9 - confirm-swap-from-reserved-conflict.yml.</t>
  </si>
  <si>
    <t>E10 - POST /services/{id}/cancel sets SWAP to CANCELLED</t>
  </si>
  <si>
    <t>Bruno: services/E10 - cancel-swap-service.yml — state CANCELLED with completedAt.</t>
  </si>
  <si>
    <t>E11 - POST /services/{id}/start on expired hold returns 409 CONFLICT</t>
  </si>
  <si>
    <t>Bruno: services/E11 - start-expired-hold.yml — wait past expiresAt (~11s), then start → 409.</t>
  </si>
  <si>
    <t>E12 - GET /me/activity returns the rider service history</t>
  </si>
  <si>
    <t>Bruno: services/E12 - get-my-activity.yml.</t>
  </si>
  <si>
    <t>C6</t>
  </si>
  <si>
    <t>Charging service lifecycle</t>
  </si>
  <si>
    <t>F1 - POST /services creates a RESERVED CHARGING hold</t>
  </si>
  <si>
    <t>Bruno: services/F1 - create-charging-service.yml — 201, type CHARGING, state RESERVED, unitId set.</t>
  </si>
  <si>
    <t>F2 - POST /services/{id}/start starts Station Service session and sets CHARGING</t>
  </si>
  <si>
    <t>Bruno: services/F2 - start-charging-service.yml — state CHARGING with startedAt (Station Service must be running).</t>
  </si>
  <si>
    <t>F3 - GET /charging-status auto-transitions to READY_FOR_COLLECTION when Station Service completes</t>
  </si>
  <si>
    <t>Bruno: services/F3 - get-charging-status.yml and services/F3 - wait-charging-ready.yml — after ~15s session, service.state READY_FOR_COLLECTION and charging.status COMPLETED.</t>
  </si>
  <si>
    <t>F4 - POST /services/{id}/collect completes charging with PAYG snapshot</t>
  </si>
  <si>
    <t>Bruno: services/F4 - collect-charging-service.yml — state COLLECTED, priceYuan 3, priceCode CHARGE_GB-AC-48.</t>
  </si>
  <si>
    <t>F5 - POST /services/{id}/collect before READY_FOR_COLLECTION returns 409 CONFLICT</t>
  </si>
  <si>
    <t>Bruno: services/F5 - collect-before-ready.yml — collect while still CHARGING → 409.</t>
  </si>
  <si>
    <t>F6 - POST /services/{id}/cancel after charging start returns 409 CONFLICT</t>
  </si>
  <si>
    <t>Bruno: services/F6 - cancel-charging-after-start.yml — cancel while CHARGING → 409.</t>
  </si>
  <si>
    <t>F7 - POST /services/{id}/start fail-closed when Station Service is unavailable (502 or 409)</t>
  </si>
  <si>
    <t>Bruno: services/F7 - start-charging-fail-closed.yml — assessor stops Station Service (or points STATION_SERVICE_URL at a closed port), creates a CHARGING hold, then start → 502 BAD_GATEWAY or 409 CONFLICT.</t>
  </si>
  <si>
    <t>C7</t>
  </si>
  <si>
    <t>Battery safety and price catalog</t>
  </si>
  <si>
    <t>G1 - POST /services SWAP skips spiked last-charge pack and reserves a safe alternative</t>
  </si>
  <si>
    <t>Bruno: services/G1 - create-swap-skips-spike-pack.yml — station-002 reserves battery-008 / unit-015 (not battery-005).</t>
  </si>
  <si>
    <t>G2 - POST /services SWAP rejects sustained-heat quarantine with 409</t>
  </si>
  <si>
    <t>Bruno: services/G2 - create-swap-sustained-quarantine.yml — no remaining safe pack → 409.</t>
  </si>
  <si>
    <t>G3 - POST /batteries/{id}/evaluate-last-charge returns SAFE for ok telemetry</t>
  </si>
  <si>
    <t>Bruno: batteries/G3 - evaluate-ok.yml — battery-001 outcome SAFE.</t>
  </si>
  <si>
    <t>G4 - POST /batteries/{id}/evaluate-last-charge returns QUARANTINED for spike telemetry</t>
  </si>
  <si>
    <t>Bruno: batteries/G4 - evaluate-spike.yml — battery-005 quarantined.</t>
  </si>
  <si>
    <t>G5 - POST /batteries/{id}/evaluate-last-charge returns QUARANTINED for sustained-heat telemetry</t>
  </si>
  <si>
    <t>Bruno: batteries/G5 - evaluate-sustained.yml — battery-007 quarantined.</t>
  </si>
  <si>
    <t>G6 - POST /batteries/{id}/evaluate-last-charge returns 404 NO_TELEMETRY when samples are missing</t>
  </si>
  <si>
    <t>Bruno: batteries/G6 - evaluate-no-telemetry.yml.</t>
  </si>
  <si>
    <t>G7 - GET /price-list returns the active PAYG catalog</t>
  </si>
  <si>
    <t>Bruno: services/G7 - get-price-list.yml.</t>
  </si>
  <si>
    <t>Criterion D</t>
  </si>
  <si>
    <t>D1</t>
  </si>
  <si>
    <t>Login with email and password stores the token and opens the authenticated app</t>
  </si>
  <si>
    <t>Test: Sign in with a seed rider (for example lin.xiaoyu@swaploop.test / password123) or an account created in this session. On success the SPA leaves the login screen and shows authenticated chrome (bottom nav). Fail if credentials are ignored or the app stays on login after a 200 login response.</t>
  </si>
  <si>
    <t>Protected API calls send Authorization: Bearer with the stored token</t>
  </si>
  <si>
    <t>Test: After login, a protected call such as GET /api/v1/me or GET /api/v1/stations includes Authorization: Bearer &lt;token&gt; (Network).</t>
  </si>
  <si>
    <t>The stored token keeps the rider signed in after reload</t>
  </si>
  <si>
    <t>Test: After login, confirm the opaque token is in localStorage (or equivalent). Reload the app. The rider stays signed in and protected calls still send the Bearer header.</t>
  </si>
  <si>
    <t>Sign out clears the stored token and returns to login</t>
  </si>
  <si>
    <t>Test: From Profile, sign out. The token is removed from storage, the login (or registration) screen is shown, and a protected URL no longer loads authenticated content without signing in again.</t>
  </si>
  <si>
    <t>Unauthenticated visitors can reach only login and registration</t>
  </si>
  <si>
    <t>Test: With no token (private window or after sign-out), only login and the two-step registration are available. Direct URLs for the station list, a station detail hub, Scan, and Activity do not show those views. Fail if the SPA calls GET /stations and renders the public list before login.</t>
  </si>
  <si>
    <t>A suspended account rejected with 403 shows the rider-facing message</t>
  </si>
  <si>
    <t>Test: Sign in as sun.hao@swaploop.test / password123 (seeded SUSPENDED). Login returns 403. The SPA stays on login, shows that message, and does not store a token. Fail if the app looks signed-in, shows a blank screen, or only a generic browser error.</t>
  </si>
  <si>
    <t>D2</t>
  </si>
  <si>
    <t>Registration and profile</t>
  </si>
  <si>
    <t>Registration step 1 collects email, password, display name, and a vehicle profile</t>
  </si>
  <si>
    <t>Test: Open registration. Step 1 requires email, password, display name, and battery mode (SWAPPABLE or INTEGRATED) before the Alipay step. Fail if the SPA skips the vehicle profile or registers with credentials only.</t>
  </si>
  <si>
    <t>Vehicle fields follow battery mode and voltageClass is not sent on register</t>
  </si>
  <si>
    <t>Test: For SWAPPABLE, batteryType is required (SL-48 or SL-60) and connectorType is omitted. For INTEGRATED, connectorType is required (GB-AC-48 or GB-AC-60) and batteryType is omitted. In Network, POST /api/v1/auth/register does not send voltageClass (the main backend derives it).</t>
  </si>
  <si>
    <t>Registration step 2 is a simulated Alipay link, then Create account</t>
  </si>
  <si>
    <t>Test: After step 1, a mock Alipay QR or linking UI appears, waits a short delay, then shows success and enables Create account. Create account registers, stores the returned token, and enters the authenticated app. In Network, no live Alipay or payment API is called.</t>
  </si>
  <si>
    <t>Profile shows the rider’s identity, status, and vehicle fields from the API</t>
  </si>
  <si>
    <t>Test: Open Profile after login. It shows display name, email, role, status, battery mode, battery type or connector type (whichever applies), and the derived voltage class. For a swappable rider who currently holds a pack, currentBatteryId is shown when the API returns it.</t>
  </si>
  <si>
    <t>Rider can edit display name and vehicle profile with the same mode-driven field rules</t>
  </si>
  <si>
    <t>Test: Change display name and the vehicle profile. SWAPPABLE still uses batteryType without connectorType; INTEGRATED uses connectorType without batteryType. Reload Profile: the PATCH /api/v1/me result is shown.</t>
  </si>
  <si>
    <t>D3</t>
  </si>
  <si>
    <t>Stations list and filters</t>
  </si>
  <si>
    <t>Authenticated station list shows name, type, lifecycle status, and address or hours</t>
  </si>
  <si>
    <t>Test: While signed in, open Stations. A scrollable list loads from GET /api/v1/stations. Each card shows name, type (SWAP, CHARGING, or HYBRID), lifecycle status, and address or hours when the API provides them. Opening a card goes to that station’s detail hub.</t>
  </si>
  <si>
    <t>Each station card shows whether a compatible pack or bay is ready for this rider</t>
  </si>
  <si>
    <t>Test: With a SWAPPABLE rider, cards distinguish a ready battery for that batteryType from a station that merely exists. With an INTEGRATED rider, cards distinguish a ready charging bay for that connectorType. Fail if every station looks equally usable regardless of profile.</t>
  </si>
  <si>
    <t>List can be filtered by station type: all, SWAP, CHARGING, or HYBRID</t>
  </si>
  <si>
    <t>Test: Apply each type filter. GET /stations uses type=SWAP, CHARGING, or HYBRID (omit type for all). The list shows only matching stations. Fail if the filter does not change the list or mixes types.</t>
  </si>
  <si>
    <t>Compatible-availability filter keeps stations with a ready pack or bay for the signed-in profile</t>
  </si>
  <si>
    <t>Test: Turn on the compatible-availability filter. GET /stations uses service=SWAP and batteryType for a swappable rider, or service=BIKE_BAY and connectorType for an integrated rider. Stations without a ready pack or bay drop out. Fail if closed/empty stations still appear as if they were ready.</t>
  </si>
  <si>
    <t>Nearby filter uses Geolocation with about 1.5 km radius and shows distance</t>
  </si>
  <si>
    <t>Test: In Chrome DevTools Sensors, set location to Shanghai (for example 31.2304, 121.4737). Enable nearby. GET /stations is called with lat, lng, and radiusMeters (default 1500). Stations outside that radius are excluded and remaining cards show distanceMeters. Fail if nearby is only a client-side guess without those query params, or does not use Geolocation.</t>
  </si>
  <si>
    <t>Empty filtered lists distinguish nothing compatible ready from no station nearby</t>
  </si>
  <si>
    <t>Test: Compatible-availability on with nothing ready, and nearby with a location far from Shanghai, must not share one generic “no results” message. Closed or suspended stations that still appear in an unfiltered list are identifiable from lifecycle status on the card (not as a third empty-list type). Fail if both empty filters look identical.</t>
  </si>
  <si>
    <t>D4</t>
  </si>
  <si>
    <t>Station detail and reserve</t>
  </si>
  <si>
    <t>Station hub shows identity, status, hours, compatibility, and rider availability</t>
  </si>
  <si>
    <t>Test: Open an ACTIVE station. The hub shows identity, address, status, hours, compatibility (services, battery types, connector types, voltage classes as returned), and whether a compatible battery or charging bay is ready for the signed-in rider, plus short guidance for that profile.</t>
  </si>
  <si>
    <t>Eligible ACTIVE station offers Reserve battery or Reserve charging bay and creates a hold</t>
  </si>
  <si>
    <t>Test: As a SWAPPABLE rider on an eligible ACTIVE station, Reserve battery creates a SWAP service. As an INTEGRATED rider, Reserve charging bay creates a CHARGING service. Network: POST /api/v1/services. On success the hub shows the active hold (expiresAt from the API, 10 seconds in the competition API) and a clear path to Activity.</t>
  </si>
  <si>
    <t>Active service at this station is shown and reserve is not replaced by a misleading no-ready chip</t>
  </si>
  <si>
    <t>Test: After a successful hold at this station, the hub shows that hold or in-progress state and a primary control to open Activity. It must not show a misleading “No ready battery / bay” chip while the hold is still theirs.</t>
  </si>
  <si>
    <t>Active service at another station blocks a new reserve and links to Activity</t>
  </si>
  <si>
    <t>Test: With an active hold at station A, open station B. A new reserve is blocked. Copy explains the rider already has an active service and links to Activity. Fail if a second hold can be started or the rider is given no path to Activity.</t>
  </si>
  <si>
    <t>Last-charge 409 shows rider copy, reloads availability, and does not silently change station</t>
  </si>
  <si>
    <t>Test: As lin.xiaoyu@swaploop.test, reserve SWAP at station-005 (battery-007 sustained-heat fixture). Expect 409. Show rider-facing copy such as “The selected battery is not available anymore”. Reload this station so availability is current; hide or disable reserve when nothing compatible remains. Fail if the SPA re-implements heat rules, invents availability, or silently sends the rider to another station. Do not use station-002 for this test (it has another READY SL-48 pack).</t>
  </si>
  <si>
    <t>D5</t>
  </si>
  <si>
    <t>Station QR scan</t>
  </si>
  <si>
    <t>Scan screen embeds the QR emulator web component and does not use a device camera</t>
  </si>
  <si>
    <t>Test: Open Scan. The IIFE bundle from assets/qr-code-emulator/swaploop-qr-emulator.js is loaded and &lt;swaploop-qr-emulator&gt; is on the page (see assets/handouts/handout-qr-emulator-integration.md). No getUserMedia / camera permission is required.</t>
  </si>
  <si>
    <t>The SPA does not call Station Service except through the QR emulator</t>
  </si>
  <si>
    <t>Test: During station list, reserve, Activity swap, and charging poll, Network shows no Station Service calls for last-charge telemetry or bike-bay sessions. Station Service appears only as the emulator’s GET /api/qr/current (service-url https://cXX-YYYY-station-service.sitc.skillsit.eu or http://localhost:4020).</t>
  </si>
  <si>
    <t>A valid station poster payload opens that station’s detail hub</t>
  </si>
  <si>
    <t>Test: On the Station Service QR tester (https://cXX-YYYY-station-service.sitc.skillsit.eu/qr-code-emulator or http://localhost:4020/qr-code-emulator), set a known station poster, then trigger a scan in the SPA. Accept https://app.swaploop.test/stations/{stationId} and a bare station-… id. The SPA opens that station’s detail hub only after the main backend returns the station. Fail if the hub is invented from the QR string alone without a successful station fetch.</t>
  </si>
  <si>
    <t>An invalid QR payload shows a mismatch message and does not invent a station</t>
  </si>
  <si>
    <t>Test: Feed a payload that is not the station deep link and not a bare station- id. Show a clear mismatch message and do not open a fake hub. (Unknown but well-formed ids are marked with the 404 error aspect after GET /stations/{id} fails.)</t>
  </si>
  <si>
    <t>D6</t>
  </si>
  <si>
    <t>Activity — swap journey</t>
  </si>
  <si>
    <t>Active swap hold shows an expiresAt countdown with Start swapping and Cancel</t>
  </si>
  <si>
    <t>Test: Reserve a SWAP service as lin.xiaoyu@swaploop.test and open Activity immediately (GET /api/v1/me/activity). Holds last 10 seconds — start before expiry or reset the seed. While RESERVED, show a countdown from expiresAt and offer Start swapping and Cancel. Display the API timestamp/offset as returned. The physical handoff does not require another QR scan.</t>
  </si>
  <si>
    <t>After start, the swap offers Confirm swap and Cancel</t>
  </si>
  <si>
    <t>Test: Choose Start swapping (POST /api/v1/services/{id}/start). When status is STARTED, offer Confirm swap and Cancel. Confirm calls POST /api/v1/services/{id}/confirm. Fail if start is skipped or confirm is offered while still RESERVED.</t>
  </si>
  <si>
    <t>After confirm or collect, the receipt uses priceYuan / priceCode in CNY and is not calculated in the SPA</t>
  </si>
  <si>
    <t>Test: After a successful swap confirm (or charging collect), show a receipt from the API priceYuan / priceCode in CNY. Fail if the SPA calculates, guesses, or placeholders an amount.</t>
  </si>
  <si>
    <t>Recent finished services can reopen receipt fields; empty Activity links to Stations</t>
  </si>
  <si>
    <t>Test: After a priced service, the recent list includes it and those receipt fields can be reopened. With no active and no recent items (new account or empty history), say so clearly and link back to Stations.</t>
  </si>
  <si>
    <t>D7</t>
  </si>
  <si>
    <t>Activity — charging journey</t>
  </si>
  <si>
    <t>Active charging hold shows a countdown with Start charging and Cancel only while RESERVED</t>
  </si>
  <si>
    <t>Test: As chen.wei@swaploop.test, reserve a charging bay and open Activity immediately (10-second hold). While RESERVED, show an expiresAt countdown, Start charging, and Cancel. After the session has started, Cancel is not offered (cancel only in RESERVED).</t>
  </si>
  <si>
    <t>Started charging polls live status about once per second and shows SOC, power, temperature, and endsAt</t>
  </si>
  <si>
    <t>Test: Start charging as chen.wei@swaploop.test (POST /api/v1/services/{id}/start). In Network, GET /api/v1/services/{id}/charging-status runs about once per second. The UI shows SOC, power, temperature, and any endsAt countdown from the API. The competition simulation lasts about 15 seconds. Fail if the SPA never polls, polls far slower than ~1 s, or invents telemetry the API did not return.</t>
  </si>
  <si>
    <t>Polling stops at ready-for-collection; Collect bike is offered; no Mark ready control</t>
  </si>
  <si>
    <t>Test: When the main backend reports the session complete / READY_FOR_COLLECTION, polling stops and Collect bike is offered (POST /api/v1/services/{id}/collect). There is no Mark ready control on the happy path. Receipt after collect is marked with the swap receipt aspect. SAFETY_CUTOFF copy is marked under rider-facing messages.</t>
  </si>
  <si>
    <t>D8</t>
  </si>
  <si>
    <t>Client state and API errors</t>
  </si>
  <si>
    <t>Common API errors 401, 403, 404, 409, 422, and 5xx show actionable rider-facing messages</t>
  </si>
  <si>
    <t>Test: Produce 401 (clear token then call a protected route), 403 (sun.hao login), 404 (unknown station id or forged QR hub), 409 (swap reserve at station-005), 422 (invalid register/PATCH body), and 5xx (if the assessor can simulate it, otherwise a forced Network failure to a protected URL). Each shows an on-screen, actionable message with no stack traces. Unknown station ids must not look like a valid hub.</t>
  </si>
  <si>
    <t>401 on a protected rider action clears the session and returns to login</t>
  </si>
  <si>
    <t>Test: After login as lin.xiaoyu@swaploop.test, remove or expire the token, then trigger a protected action. The SPA clears storage and returns to login. A 403 on a later protected call (account suspended) must also clear session and return to login. Login 403 for sun.hao stays on the login screen and is marked separately.</t>
  </si>
  <si>
    <t>Mutations cannot be double-submitted while a request is pending</t>
  </si>
  <si>
    <t>Test: On Reserve, Start, Confirm, Collect, or Cancel, activate the control twice quickly (or hold Enter). Only one mutation is sent, or the second is ignored while pending (Network). Fail if two identical POSTs are fired.</t>
  </si>
  <si>
    <t>Loading or stale indicators are shown instead of presenting cached availability as current</t>
  </si>
  <si>
    <t>Test: Open Stations or a station hub, then change a filter or reopen the hub. While GET /stations or GET /stations/{id} is in flight, a loading or stale indicator is visible. Fail if a previous list is shown as if it were the current result with no cue that data is refreshing.</t>
  </si>
  <si>
    <t>Rider-facing copy for expiry, service-state changes, and API failures is clear and accessible</t>
  </si>
  <si>
    <t>Hold expiry, major service-state changes, and API errors are missing, shown only as a colour shift, or leak stack traces / internal codes.</t>
  </si>
  <si>
    <t>Some failures have a message, but copy is generic, easy to miss, or does not tell the rider what happened (for example SAFETY_CUTOFF or hold expiry).</t>
  </si>
  <si>
    <t>Most expiry, state-change, and HTTP errors have a clear on-screen message in rider language, paired with text or icons rather than colour alone.</t>
  </si>
  <si>
    <t>Expiry, state changes, SAFETY_CUTOFF, and HTTP errors are consistently explained with specific, actionable copy and remain understandable without relying on colour.</t>
  </si>
  <si>
    <t>D9</t>
  </si>
  <si>
    <t>SPA structure and routing</t>
  </si>
  <si>
    <t>Independently runnable JavaScript SPA with client-side routing</t>
  </si>
  <si>
    <t>Test: Start the submission as a SPA (modern framework such as React, Vue, or Angular) in Google Chrome. Navigating Stations, Scan, Activity, and Profile does not trigger a full document reload. The app consumes the Main Backend under /api/v1 (https://cXX-YYYY-module-c.sitc.skillsit.eu/api/v1 or http://localhost:5000/api/v1).</t>
  </si>
  <si>
    <t>Reloading a deep-linked URL restores the same view after auth is read from storage</t>
  </si>
  <si>
    <t>Test: While signed in, open a station detail URL (or Activity / Profile / Scan). Reload. After auth is read from storage, the same view is restored. Unsaved form input may be lost. Fail if reload always dumps the rider on a blank home/login despite a valid stored token.</t>
  </si>
  <si>
    <t>Code organization and maintainability of the rider SPA</t>
  </si>
  <si>
    <t>Code is unstructured, heavily duplicated, or difficult to follow; routing, API calls, and UI are mixed without clear boundaries.</t>
  </si>
  <si>
    <t>Basic framework modules exist but naming, folders, and API/state handling are inconsistent.</t>
  </si>
  <si>
    <t>Clear file/module structure with meaningful names and a sensible split between views, API access, and client state.</t>
  </si>
  <si>
    <t>Modular, consistent patterns: reusable views/components, server state kept separate from transient UI state, and code that is easy to extend.</t>
  </si>
  <si>
    <t>D10</t>
  </si>
  <si>
    <t>Design, UX, and accessibility</t>
  </si>
  <si>
    <t>Signed-in chrome is a sticky bottom bar with Stations, Scan, Activity, and Profile</t>
  </si>
  <si>
    <t>Test: Once signed in, a navigation bar stays at the bottom of the viewport on Stations, Scan, Activity, and Profile while main content scrolls. Labels and/or icons include at least Stations, Scan, Activity, and Profile.</t>
  </si>
  <si>
    <t>The current bottom-nav destination is distinct and switching does not fully reload the page</t>
  </si>
  <si>
    <t>Test: Tap each destination. The current item is visually distinct. The view switches without a full page reload (SPA navigation).</t>
  </si>
  <si>
    <t>Login and registration have no bottom bar; authenticated actions are not hidden behind it</t>
  </si>
  <si>
    <t>Test: Login and the two-step registration do not show the sticky bottom bar. On Stations and Activity, cards, reserve, and service actions have enough bottom padding that they are not hidden behind the bar.</t>
  </si>
  <si>
    <t>Layout is mobile-first, remains usable at desktop width, and does not rely on hover-only actions</t>
  </si>
  <si>
    <t>Test: At a phone-sized viewport the UI is a single column with large enough tap targets. Stretch the window to a desktop width: the layout still works. Reserve and Activity actions are usable with tap/click — not hover-only.</t>
  </si>
  <si>
    <t>Reserve, start, confirm, collect, and cancel are keyboard-operable with a visible focus state</t>
  </si>
  <si>
    <t>Test: Using only Tab and Enter/Space (no pointer), complete a service journey far enough to operate reserve, start, confirm or collect, and cancel. Each of those controls is reachable and has a visible focus state.</t>
  </si>
  <si>
    <t>Status is not communicated by colour alone</t>
  </si>
  <si>
    <t>Test: Closed/suspended stations, an expiring hold, and a failed request are each understandable from text and/or icons as well as colour. Fail if the only difference is a red/green (or similar) colour shift.</t>
  </si>
  <si>
    <t>Visual design quality of the mobile-first rider app</t>
  </si>
  <si>
    <t>Looks like an unfinished desktop page: inconsistent spacing, unreadable type, or chrome that does not feel like a rider app.</t>
  </si>
  <si>
    <t>Usable but generic: basic layout with weak hierarchy, cramped tap targets, or inconsistent station/activity cards.</t>
  </si>
  <si>
    <t>Coherent mobile-first rider UI with clear hierarchy, consistent cards and actions, and chrome that reads as an app rather than a website menu.</t>
  </si>
  <si>
    <t>Polished, consistent visual system: strong hierarchy, comfortable tap targets, clear station/activity states, SwapLoop Station / cabinet / bay vocabulary used consistently, and a native-feeling bottom-nav app.</t>
  </si>
  <si>
    <t>Criterion E</t>
  </si>
  <si>
    <t>E1</t>
  </si>
  <si>
    <t>ChargeRun grid and run setup</t>
  </si>
  <si>
    <t>Game board is a DOM grid matching assets/layout.js (12×8 with SPAWN, CABINET, ROAD, and OBSTACLE)</t>
  </si>
  <si>
    <t>Test: Inspect the Game screen. The board is built from DOM cells (not a single bitmap). Layout matches BASE_LAYOUT in assets/layout.js: 8 rows × 12 columns, SPAWN in the top-left road area, CABINET in the bottom-right road area, and OBSTACLE cells blocking off-road space.</t>
  </si>
  <si>
    <t>ROAD, OBSTACLE, SPAWN, and CABINET cells are visually distinguished</t>
  </si>
  <si>
    <t>Test: Without reading code, tell the four cell types apart by colour, border, texture, or label.</t>
  </si>
  <si>
    <t>Each run places four energy packs on distinct ROAD cells that are not SPAWN or CABINET</t>
  </si>
  <si>
    <t>Test: On load, count four energy-pack objects. None sit on SPAWN or CABINET. Reload or Play again and confirm they still land only on ROAD cells.</t>
  </si>
  <si>
    <t>Exactly one of the four energy packs is a boost pack</t>
  </si>
  <si>
    <t>Test: Identify the four packs. Exactly one is visually distinct as the boost pack. Confirm by collecting it later (+40 energy) if the styling is ambiguous.</t>
  </si>
  <si>
    <t>Each run places two potholes on distinct ROAD cells not occupied by energy packs</t>
  </si>
  <si>
    <t>Test: Count two potholes. They are not on SPAWN, CABINET, or a pack cell.</t>
  </si>
  <si>
    <t>Two pedestrians are assigned two different paths from the layout.js catalogue</t>
  </si>
  <si>
    <t>Test: After the first move, watch both pedestrians. They patrol different routes from PEDESTRIAN_PATH_CATALOGUE in assets/layout.js (not the same path, and not arbitrary off-catalogue cells).</t>
  </si>
  <si>
    <t>The player starts on SPAWN and the run is in READY</t>
  </si>
  <si>
    <t>Test: On Game load, the e-bike is on the SPAWN cell. Energy is not draining and pedestrians are not moving until the first valid movement key.</t>
  </si>
  <si>
    <t>Play again sets up a new randomised run in READY</t>
  </si>
  <si>
    <t>Test: Note pack and pothole cells. Finish a run, open the studio, click Play again. The Game screen returns without a full browser reload, the run is READY (frozen until a move key), and at least some pickups/paths differ. If a roll matches, Play again once more.</t>
  </si>
  <si>
    <t>E2</t>
  </si>
  <si>
    <t>Movement, energy, packs, and potholes</t>
  </si>
  <si>
    <t>Arrow keys and WASD each move the player one cell</t>
  </si>
  <si>
    <t>Test: From SPAWN, use ArrowUp/Down/Left/Right and W/A/S/D. Each required key moves exactly one walkable cell per press (no hold-to-repeat requirement).</t>
  </si>
  <si>
    <t>Moves into OBSTACLE cells and off the grid are ignored</t>
  </si>
  <si>
    <t>Test: From a cell next to an OBSTACLE, press toward the obstacle — the player stays put. At a grid edge, press off the board — the player stays put.</t>
  </si>
  <si>
    <t>The first valid movement key enters RUNNING and moves that cell</t>
  </si>
  <si>
    <t>Test: There is no Start button. Pressing a movement key into an OBSTACLE while READY does not start the run. Pressing a valid walkable move starts RUNNING and applies that one-cell move. There is no separate start menu.</t>
  </si>
  <si>
    <t>Energy starts at 100 and drains 15 points every second while RUNNING</t>
  </si>
  <si>
    <t>Test: HUD energy is 100 in READY. After the first move, without collecting packs, energy drops by 15 about every 1 second (100 → 85 → 70…). Maximum remains 100.</t>
  </si>
  <si>
    <t>Energy does not drain while the run is READY</t>
  </si>
  <si>
    <t>Test: Leave the Game screen in READY for at least 3 seconds without pressing a move key. Energy stays at 100.</t>
  </si>
  <si>
    <t>A normal energy pack adds 25 energy (clamped to 100) and is removed</t>
  </si>
  <si>
    <t>Test: Drain below 75, then enter a normal (+25) pack cell. Energy increases by 25 and does not exceed 100. The pack disappears from that cell.</t>
  </si>
  <si>
    <t>The boost pack adds 40 energy (clamped to 100) and is removed</t>
  </si>
  <si>
    <t>Test: Drain below 60, then enter the boost pack cell. Energy increases by 40 and does not exceed 100. The boost pack disappears.</t>
  </si>
  <si>
    <t>A pothole subtracts 25 energy (clamped to 0) and is then removed</t>
  </si>
  <si>
    <t>Test: Enter a pothole cell. Energy decreases by 25 (not below 0). After the hit, the pothole is gone from that cell so a later visit does not apply the penalty again.</t>
  </si>
  <si>
    <t>Energy reaching 0 causes an immediate LOSE</t>
  </si>
  <si>
    <t>Test: Stay on a safe cell after starting and wait until energy hits 0, or walk into enough potholes. The run ends as LOSE as soon as energy is 0.</t>
  </si>
  <si>
    <t>E3</t>
  </si>
  <si>
    <t>Pedestrians, win/lose, HUD, and scoring</t>
  </si>
  <si>
    <t>Each pedestrian steps one cell about every 600 ms while RUNNING</t>
  </si>
  <si>
    <t>Test: Start the run and watch one pedestrian. It advances one path cell roughly twice per 1.2 seconds (~600 ms), not only when the player moves.</t>
  </si>
  <si>
    <t>Pedestrians stay frozen while the run is READY</t>
  </si>
  <si>
    <t>Test: Wait several seconds on the Game screen before any move key. Both pedestrians stay on their starting cells.</t>
  </si>
  <si>
    <t>Pedestrians reverse direction at both ends of their path (ping-pong)</t>
  </si>
  <si>
    <t>Test: Watch a pedestrian reach the last cell of its route. It turns back along the same cells instead of disappearing or leaving the path.</t>
  </si>
  <si>
    <t>Sharing a cell with a pedestrian causes an immediate LOSE</t>
  </si>
  <si>
    <t>Test: Move onto a pedestrian’s cell (or wait until a pedestrian walks onto the player). The run ends as LOSE immediately.</t>
  </si>
  <si>
    <t>Entering the CABINET cell with energy greater than 0 is a WIN and opens the studio immediately</t>
  </si>
  <si>
    <t>Test: Reach the Battery Swap Cabinet with energy remaining. The Charge Card studio opens at once (no lose toast).</t>
  </si>
  <si>
    <t>On LOSE, a toast or overlay explains whether energy ran out or a pedestrian collision occurred</t>
  </si>
  <si>
    <t>Test: Lose once by energy 0 and once by pedestrian collision (separate runs). Each time a toast/overlay appears before the studio, and the message matches that cause.</t>
  </si>
  <si>
    <t>While the lose overlay is visible, energy drain, pedestrian movement, and player input are frozen</t>
  </si>
  <si>
    <t>Test: Trigger LOSE. While the toast/overlay is showing, energy does not keep falling, pedestrians do not keep stepping, and movement keys do not move the player.</t>
  </si>
  <si>
    <t>After the lose overlay dismisses or its timer elapses, the Charge Card studio opens</t>
  </si>
  <si>
    <t>Test: Complete a LOSE. When the overlay is dismissed or times out, the studio screen is shown inside the kiosk without a full browser reload.</t>
  </si>
  <si>
    <t>The HUD continuously shows current energy and current score</t>
  </si>
  <si>
    <t>Test: On the Game screen, energy and score remain visible during READY and RUNNING and update as energy and pickups change.</t>
  </si>
  <si>
    <t>READY shows the hint “Press Arrow keys or WASD to start”</t>
  </si>
  <si>
    <t>Test: On Game load (READY), that exact hint is visible. It is not required after the run has entered RUNNING.</t>
  </si>
  <si>
    <t>Final score follows the specified formula and is clamped at a minimum of 0</t>
  </si>
  <si>
    <t>Test (integer arithmetic): live score updates when a pack is collected or a pothole is hit. Spot-check: each normal pack +100, boost pack +150, remaining energy × 2, each pothole −30, pedestrian-collision LOSE −200, time bonus only on WIN as max(0, 60 − elapsed whole seconds) × 5 (timer starts at RUNNING). LOSE time bonus is 0. Final score is never negative. Compare the studio score to this result.</t>
  </si>
  <si>
    <t>E4</t>
  </si>
  <si>
    <t>Charge Card composition</t>
  </si>
  <si>
    <t>The Charge Card canvas is 960×540 pixels</t>
  </si>
  <si>
    <t>Test: In DevTools, the studio &lt;canvas&gt; width/height attributes are 960 and 540. A downloaded PNG is also 960×540.</t>
  </si>
  <si>
    <t>The card preview uses a 16px border radius</t>
  </si>
  <si>
    <t>Test: The on-screen card preview has 16px rounded corners (CSS or equivalent).</t>
  </si>
  <si>
    <t>With no photo uploaded, the card background is a blue-green gradient</t>
  </si>
  <si>
    <t>Test: Open the studio without uploading a background. The card shows a blue-green gradient behind the overlay, not a blank or solid unrelated fill.</t>
  </si>
  <si>
    <t>The supplied charge-card overlay PNG is drawn at full card size</t>
  </si>
  <si>
    <t>Test: The SwapLoop frame/logo from assets/charge-cards/charge-card-overlay.png covers the 960×540 card. The competitor has not redrawn that frame by hand.</t>
  </si>
  <si>
    <t>Display name is drawn at 28px regular, right-aligned (right edge x=927, y=55)</t>
  </si>
  <si>
    <t>Test: Enter a name and confirm it appears in the top-right of the card, 28px regular, right-aligned so the right edge sits at x=927, y=55 (top-left of the text box is not x=927). White fill.</t>
  </si>
  <si>
    <t>A WIN card shows exactly “SAFE ARRIVAL / 平安抵达” in #91FF89</t>
  </si>
  <si>
    <t>Test: Win a run. Outcome text is exactly SAFE ARRIVAL / 平安抵达, 32px semibold, horizontally centered at y=135, colour #91FF89.</t>
  </si>
  <si>
    <t>A LOSE card shows exactly “RUN ENDED / 比赛结束” in #FF8989</t>
  </si>
  <si>
    <t>Test: Lose a run. Outcome text is exactly RUN ENDED / 比赛结束, 32px semibold, horizontally centered at y=135, colour #FF8989.</t>
  </si>
  <si>
    <t>The numeric final score is drawn 128px bold and centered at y=185</t>
  </si>
  <si>
    <t>Test: The score on the card matches the finished run, uses 128px bold Inter, is horizontally centered, and sits at y=185 with white fill.</t>
  </si>
  <si>
    <t>The card date uses Asia/Shanghai (zh-CN) formatting like 2026/8/7 10:46:42</t>
  </si>
  <si>
    <t>Test: Date text is at x=50, y=500, 16px regular. Format is year/month/day hour:minute:second in timezone Asia/Shanghai (month/day may be unpadded). It must not be a different timezone or a locale that inserts extra characters instead of this pattern.</t>
  </si>
  <si>
    <t>Canvas text uses the provided Inter webfonts from assets/fonts</t>
  </si>
  <si>
    <t>Test: Card text is Inter (not a generic fallback like Times/Arial as the intended face). Fonts are loaded from assets/fonts/ (or the copied Inter files from that folder).</t>
  </si>
  <si>
    <t>Card text fill is #FFFFFF and signature strokes are #FFFFFF at line width 3</t>
  </si>
  <si>
    <t>Test: Name, score, and date are white. Draw a signature — stroke is white and clearly a ~3px line, not a hairline or thick marker.</t>
  </si>
  <si>
    <t>E5</t>
  </si>
  <si>
    <t>Charge Card studio controls</t>
  </si>
  <si>
    <t>Empty or whitespace-only display name blocks Download, Share, and Print with a visible field error</t>
  </si>
  <si>
    <t>Test: Clear the name (or enter only spaces). Click Download, Share, and Print. None of the three actions proceed, and a visible error is shown on the name field.</t>
  </si>
  <si>
    <t>Display name is prefilled from localStorage when a saved name exists</t>
  </si>
  <si>
    <t>Test: After a name has been stored, start a new run into the studio (or reload and finish a run). The name input shows the saved value.</t>
  </si>
  <si>
    <t>The trimmed display name is saved when Download, Share, or Print is successfully initiated</t>
  </si>
  <si>
    <t>Test: Enter “  Ada  ”, sign, and Download (or Share/Print). localStorage stores the trimmed name (e.g. Ada). Reload/new studio visit prefills Ada, not the padded original.</t>
  </si>
  <si>
    <t>A visible file input (or button that opens one) accepts JPEG, PNG, and WebP backgrounds</t>
  </si>
  <si>
    <t>Test: Use the upload control with a valid 960×540 JPEG, PNG, and WebP from assets/charge-cards/backgrounds (or equivalent). Each accepted image is drawn as the card background.</t>
  </si>
  <si>
    <t>Dropping a file onto the kiosk uses the same validation and apply pipeline as the file input</t>
  </si>
  <si>
    <t>Test: On the studio screen, drag a valid 960×540 image onto the kiosk (not only onto a tiny drop target outside it). The background is applied. Dragging a rejected file shows the same error as the file input.</t>
  </si>
  <si>
    <t>Unsupported MIME types are rejected with a visible message</t>
  </si>
  <si>
    <t>Test: Upload assets/charge-cards/backgrounds/background-incorrect-format.pdf (or another non-jpeg/png/webp file). A visible error appears and the card background does not change.</t>
  </si>
  <si>
    <t>Files larger than 5 MB are rejected with a visible message</t>
  </si>
  <si>
    <t>Test: Upload assets/charge-cards/backgrounds/background-incorrect-file-size-too-big.png. A visible error appears and the background is not applied.</t>
  </si>
  <si>
    <t>Background images that are not 960×540 pixels are rejected with a visible message</t>
  </si>
  <si>
    <t>Test: Upload assets/charge-cards/backgrounds/background-incorrect-size.jpg (or any image whose pixel size is not 960×540). A visible error appears and the background is not applied.</t>
  </si>
  <si>
    <t>Reset background restores the default gradient</t>
  </si>
  <si>
    <t>Test: Apply a valid photo, then click Reset background. The photo is gone and the blue-green gradient returns. Overlay and text remain.</t>
  </si>
  <si>
    <t>Signature strokes are clipped to the signature box and Clear signature wipes them</t>
  </si>
  <si>
    <t>Test: Draw with the mouse on the card canvas. Ink appears only inside the box (x:0, y:358, 960×120) — not over the score. Click Clear signature; all strokes disappear. Touch support is not required.</t>
  </si>
  <si>
    <t>An empty signature blocks Download, Share, and Print with “Please sign inside the box”</t>
  </si>
  <si>
    <t>Test: Enter a name, leave the signature empty (or clear it). Click Download, Share, and Print. None proceed. The visible message is exactly: Please sign inside the box.</t>
  </si>
  <si>
    <t>Download saves a 960×540 PNG named chargerun-charge-card.png</t>
  </si>
  <si>
    <t>Test: With name and signature present, Download. The file is named chargerun-charge-card.png, is PNG, and is 960×540. The image is not uploaded to a custom server.</t>
  </si>
  <si>
    <t>Share uses the Web Share API with a PNG file and title/text “SwapLoop ChargeRun”</t>
  </si>
  <si>
    <t>Test: With name and signature present, click Share (Chrome, secure context / localhost). The Web Share sheet appears with a PNG file; title/text is SwapLoop ChargeRun. Canceling the sheet is fine. Fail if Share does nothing or only copies a link without a file.</t>
  </si>
  <si>
    <t>Print opens the browser print dialog for the card image, not the whole kiosk</t>
  </si>
  <si>
    <t>Test: With name and signature present, click Print. The print preview shows the Charge Card image. It must not print the entire kiosk chrome, HUD, or studio controls as the main page.</t>
  </si>
  <si>
    <t>E6</t>
  </si>
  <si>
    <t>Kiosk shell, navigation, and installability</t>
  </si>
  <si>
    <t>The kiosk stage is exactly 1280×720 pixels and centred on the page</t>
  </si>
  <si>
    <t>Test: The playable stage is 1280px by 720px (not responsive). In a larger window it is centred. Game and studio both render inside this stage.</t>
  </si>
  <si>
    <t>Only Game and Charge Card studio exist, as SPA screens inside the kiosk</t>
  </si>
  <si>
    <t>Test: Switching Game ↔ studio does not fully reload the browser document. No extra primary screens (no start menu, settings page, or third kiosk view).</t>
  </si>
  <si>
    <t>App load opens the Game screen directly</t>
  </si>
  <si>
    <t>Test: Open or reload the app. The first view is ChargeRun (READY), not a menu and not the studio.</t>
  </si>
  <si>
    <t>The app is installable in Chrome using the provided logos</t>
  </si>
  <si>
    <t>Test: In latest Chrome on localhost/https, the app meets minimum installability (web app manifest with name, display mode such as standalone, and icons). Icons come from assets/logos (logo-square-512.png / .svg). Chrome offers Install app / install icon. A service worker is not required unless Chrome needs it for the install affordance.</t>
  </si>
  <si>
    <t>The kiosk UI uses the provided Inter font</t>
  </si>
  <si>
    <t>Test: HUD, legend, and studio controls use Inter from assets/fonts/ wherever practical (not an unrelated default UI font as the primary face).</t>
  </si>
  <si>
    <t>E7</t>
  </si>
  <si>
    <t>Visual design and code quality</t>
  </si>
  <si>
    <t>A legend (or equivalent) identifies the main game objects</t>
  </si>
  <si>
    <t>Test: The Game screen includes a visible legend or equally clear labels so the player, packs, boost pack, potholes, pedestrians, and cabinet can be identified without guessing.</t>
  </si>
  <si>
    <t>Player, packs, boost pack, potholes, pedestrians, cabinet, and obstacles are distinguishable by shape or styling, not colour alone</t>
  </si>
  <si>
    <t>Test: Each listed object has a distinct shape, icon, texture, or structure. Recolouring them in your mind (or squinting) would still let you tell them apart. Plain identical boxes that differ only by fill colour fail.</t>
  </si>
  <si>
    <t>Code organization and maintainability</t>
  </si>
  <si>
    <t>Code is unstructured, heavily duplicated, or dumped into one file; game rules, canvas drawing, and UI are hard to separate</t>
  </si>
  <si>
    <t>Basic file or module split exists, but naming is inconsistent and game state, rendering, and studio logic are still tangled</t>
  </si>
  <si>
    <t>Clear structure with meaningful names and a sensible split between layout/setup, game loop, scoring, and Charge Card studio</t>
  </si>
  <si>
    <t>Excellent modular structure, consistent patterns, and code that is easy to follow, extend, and re-test without hunting for hidden side effects</t>
  </si>
  <si>
    <t>Game objects are creative CSS/DOM shapes rather than labelled coloured boxes</t>
  </si>
  <si>
    <t>Objects are missing, or are plain rectangles with text labels only</t>
  </si>
  <si>
    <t>Some CSS styling exists, but most objects remain simple boxes with little shape, shadow, or detail</t>
  </si>
  <si>
    <t>Objects use CSS shapes, gradients, shadows, glow, or pseudo-elements and read as a player, packs, hazards, and cabinet</t>
  </si>
  <si>
    <t>Highly distinctive, game-like CSS/DOM art for the e-bike, packs, boost, potholes, pedestrians, cabinet, and terrain, with subtle animation or polish that stays readable on the kiosk</t>
  </si>
  <si>
    <t>HUD, legend, and Charge Card studio share one coherent SwapLoop visual system</t>
  </si>
  <si>
    <t>Game HUD and studio look like unrelated pages; no shared type, colour, or control language</t>
  </si>
  <si>
    <t>Some shared colours or fonts, but spacing, controls, and hierarchy still feel disconnected</t>
  </si>
  <si>
    <t>HUD, legend, and studio clearly belong together: consistent type, colour, and control styling</t>
  </si>
  <si>
    <t>A tight kiosk visual system: ChargeRun and the studio feel like one branded SwapLoop product, including controls and card preview</t>
  </si>
  <si>
    <t>Overall kiosk visual design (modern game-like ChargeRun; wireframes are functional references only)</t>
  </si>
  <si>
    <t>Unfinished or generic UI; poor contrast; layout fights the 1280×720 stage; or the wireframe look is copied as the visual design</t>
  </si>
  <si>
    <t>Readable kiosk layout with basic styling, but weak hierarchy, sparse branding, or inconsistent polish between game and studio</t>
  </si>
  <si>
    <t>Clear kiosk presentation, good contrast, Inter used well, and a modern game-like ChargeRun that does not clone the wireframe styling</t>
  </si>
  <si>
    <t>Polished, distinctive SwapLoop kiosk: strong hierarchy, intentional colour, and a game-like ChargeRun plus studio that feel designed rather than templated</t>
  </si>
  <si>
    <t>Criterion F</t>
  </si>
  <si>
    <t>F1</t>
  </si>
  <si>
    <t>Project structure and content</t>
  </si>
  <si>
    <t>Exactly five HTML pages are delivered and all are reachable from the main navigation</t>
  </si>
  <si>
    <t>Test: Open the site and use the main nav. Confirm Home, How it works, Stations, For riders, and For fleets each load without broken internal links.</t>
  </si>
  <si>
    <t>Required text from assets/texts/copy-deck.md is used for headlines, prices, and station details (not rewritten)</t>
  </si>
  <si>
    <t>Test: Spot-check Home headline “Charge or swap — safely outside the home.”, PAYG prices ¥5/¥7/¥3/¥4, Partner starter ¥2,000 / 150 uses, and station name Haitang Garden East Gate with hours 00:00–24:00.</t>
  </si>
  <si>
    <t>Provided logo, hero, station photos, icons, and favicon are referenced from assets/</t>
  </si>
  <si>
    <t>Test: Inspect markup/network or page source for logo-swaploop, hero-home, station-haitang / canal-view / morning-bridge, icons, and favicon.svg.</t>
  </si>
  <si>
    <t>Site functions with JavaScript disabled (HTML/CSS only)</t>
  </si>
  <si>
    <t>Test: Disable JavaScript in the browser. Confirm pages still display, navigation links work, and CSS-only station tabs still switch content.</t>
  </si>
  <si>
    <t>F2</t>
  </si>
  <si>
    <t>Common layout</t>
  </si>
  <si>
    <t>Every page has a “Skip to main content” link that jumps to the main content</t>
  </si>
  <si>
    <t>Test: Tab to the first focusable control on each page and activate it. Focus/viewport moves to the main content area.</t>
  </si>
  <si>
    <t>Every page has a header with the SwapLoop logo/name clearly visible</t>
  </si>
  <si>
    <t>Test: On each of the five pages, confirm the header shows SwapLoop via assets/images/logo-swaploop.svg or equivalent clear brand text.</t>
  </si>
  <si>
    <t>Main navigation links to all five pages and indicates the current page</t>
  </si>
  <si>
    <t>Test: From each page, confirm nav links to all five destinations. Current page is visually distinct from the other nav items.</t>
  </si>
  <si>
    <t>Footer includes pilot credit, rider-app line, and links to For riders and For fleets</t>
  </si>
  <si>
    <t>Test: Check footer text against copy-deck Footer section and confirm working links to For riders and For fleets.</t>
  </si>
  <si>
    <t>Site header is sticky on scroll on all pages at all breakpoints</t>
  </si>
  <si>
    <t>Test: Scroll a long page at mobile, tablet, and desktop widths. Header remains fixed/sticky at the top.</t>
  </si>
  <si>
    <t>F3</t>
  </si>
  <si>
    <t>Home page</t>
  </si>
  <si>
    <t>Hero shows brand, required headline, supporting sentence, For riders and For fleets links, and hero image with provided alt text</t>
  </si>
  <si>
    <t>Test: Before scrolling Home, confirm brand, copy-deck headline/support, both CTAs, hero-home.jpg, and the provided hero alt text.</t>
  </si>
  <si>
    <t>Home includes why outdoor charging, three-step preview linking to How it works, and Haitang station teaser linking to Stations</t>
  </si>
  <si>
    <t>Test: Below the hero, confirm the three lower sections use copy-deck wording and the preview/teaser links open How it works and Stations.</t>
  </si>
  <si>
    <t>Home hero has a soft fade-in or fade-up entrance animation on load</t>
  </si>
  <si>
    <t>Test: Reload Home and observe a soft entrance animation on the hero. Animation must not depend on JavaScript if CSS can provide it.</t>
  </si>
  <si>
    <t>F4</t>
  </si>
  <si>
    <t>How it works page</t>
  </si>
  <si>
    <t>How it works page includes intro, safety note, and rider-app line from the text file</t>
  </si>
  <si>
    <t>Test: Confirm intro, safety note, and rider-app line match copy-deck How it works section.</t>
  </si>
  <si>
    <t>Three steps are a horizontal timeline on desktop and a vertical timeline on mobile/tablet</t>
  </si>
  <si>
    <t>Test: At ≥1024px width, steps are arranged horizontally as a timeline. Below 1024px, steps stack vertically as a timeline. Content matches the three copy-deck steps.</t>
  </si>
  <si>
    <t>Comparison of swap vs charge shows SL-48/SL-60 and GB-AC-48/GB-AC-60 from the text file</t>
  </si>
  <si>
    <t>Test: Table or two-column comparison includes both routes and the exact compatibility codes from copy-deck.</t>
  </si>
  <si>
    <t>F5</t>
  </si>
  <si>
    <t>Stations page</t>
  </si>
  <si>
    <t>Station types SWAP / CHARGING / HYBRID are presented as CSS-only tabs with icons</t>
  </si>
  <si>
    <t>Test: With JavaScript disabled, switch between the three type tabs. Only the selected type content shows. Icons from assets/icons are used.</t>
  </si>
  <si>
    <t>Exactly three featured stations show photo, type, address, hours, who-it-is-for text, and provided alt text</t>
  </si>
  <si>
    <t>Test: Confirm Haitang (HYBRID 00:00–24:00), Canal View (SWAP 05:00–23:30), Morning Bridge (CHARGING 06:00–22:00) with matching images and copy-deck fields. No invented live slot counts.</t>
  </si>
  <si>
    <t>On desktop, each featured station uses an overlapping or edge-bleed image layout; mobile/tablet use stacked layout</t>
  </si>
  <si>
    <t>Test: At ≥1024px, station photo overlaps text or bleeds to the content edge. Below 1024px, image and text are stacked.</t>
  </si>
  <si>
    <t>Coverage section uses the “not yet covered” wording from the text file</t>
  </si>
  <si>
    <t>Test: Coverage text matches copy-deck and does not call uncovered areas unsafe or non-compliant.</t>
  </si>
  <si>
    <t>F6</t>
  </si>
  <si>
    <t>For riders page</t>
  </si>
  <si>
    <t>Pay-as-you-go table shows exact prices ¥5 / ¥7 / ¥3 / ¥4 for SL-48 / SL-60 / GB-AC-48 / GB-AC-60</t>
  </si>
  <si>
    <t>Test: Compare the four price rows to copy-deck For riders PAYG table.</t>
  </si>
  <si>
    <t>On desktop, the price table or price block stays sticky while scrolling For riders content</t>
  </si>
  <si>
    <t>Test: At ≥1024px, scroll the For riders page. Price table or comparison block (column or header) remains sticky/visible.</t>
  </si>
  <si>
    <t>For riders includes pay-per-use line, Alipay line, compatibility checklist, and rider-app link from the text file</t>
  </si>
  <si>
    <t>Test: Confirm those four content blocks match copy-deck. No real payment form.</t>
  </si>
  <si>
    <t>F7</t>
  </si>
  <si>
    <t>For fleets page</t>
  </si>
  <si>
    <t>Partner starter and Partner fleet show exact base fees, included uses, and overage rates</t>
  </si>
  <si>
    <t>Test: Starter ¥2,000 / 150 / ¥6; Fleet ¥5,000 / 400 / ¥5 — match copy-deck.</t>
  </si>
  <si>
    <t>Volume discount bands for both plans match the text file</t>
  </si>
  <si>
    <t>Test: Fleet 0–499 0%, 500–999 10%, 1000+ 20%; Starter 0–199 0%, 200–399 5%, 400+ 15%.</t>
  </si>
  <si>
    <t>Priority windows text includes 11:00–14:00 and 17:00–20:00 and states priority never skips safety/compatibility</t>
  </si>
  <si>
    <t>Test: Priority section matches copy-deck meaning and example hours.</t>
  </si>
  <si>
    <t>Funding line and static contact action (mailto or non-submitting form) are present</t>
  </si>
  <si>
    <t>Test: Funding sentence from copy-deck is visible. Contact uses mailto:partners@swaploop.example or a form that does not send with JavaScript/backend.</t>
  </si>
  <si>
    <t>F8</t>
  </si>
  <si>
    <t>Responsive design</t>
  </si>
  <si>
    <t>Layout is clearly distinct below 768px (mobile)</t>
  </si>
  <si>
    <t>Test: Resize to a width below 768px. Common chrome and page layouts adapt (e.g. stacked nav/content).</t>
  </si>
  <si>
    <t>Layout is clearly distinct at 768px–1023px (tablet)</t>
  </si>
  <si>
    <t>Test: Resize to a width in 768–1023px. Layout differs from both mobile and desktop.</t>
  </si>
  <si>
    <t>Layout is clearly distinct at 1024px and above (desktop)</t>
  </si>
  <si>
    <t>Test: Resize to ≥1024px. Multi-column / desktop arrangements appear where required (timeline, station overlap, sticky prices).</t>
  </si>
  <si>
    <t>F9</t>
  </si>
  <si>
    <t>Transitions and reduced motion</t>
  </si>
  <si>
    <t>Main navigation and main buttons/links have visible hover and focus transitions</t>
  </si>
  <si>
    <t>Test: Hover and keyboard-focus primary nav items and main CTAs. A visible transition occurs (not an instant hard cut only).</t>
  </si>
  <si>
    <t>prefers-reduced-motion: reduce disables or simplifies the hero entrance and other non-essential motion</t>
  </si>
  <si>
    <t>Test: Enable reduced motion in OS/browser. Reload Home — hero entrance and non-essential animations are off or simplified. Hover/focus feedback may remain.</t>
  </si>
  <si>
    <t>F10</t>
  </si>
  <si>
    <t>Accessibility and SEO</t>
  </si>
  <si>
    <t>Each page has one h1 matching the page topic and uses header, nav, main, and footer landmarks</t>
  </si>
  <si>
    <t>Test: Inspect each page for a single topical h1 and the four landmarks.</t>
  </si>
  <si>
    <t>Informative images use provided alt text; focus styles are visible; colour is not the only station-type or plan cue</t>
  </si>
  <si>
    <t>Test: Compare image alts to copy-deck. Tab through controls for visible focus. Station types and plans also use text and/or icons.</t>
  </si>
  <si>
    <t>Each page has unique title and meta description from the text file; Home has Open Graph tags; favicon is present</t>
  </si>
  <si>
    <t>Test: Check document title and meta description per page against copy-deck. Home has og:title, og:description, og:image (og-default.jpg). Favicon.svg is linked.</t>
  </si>
  <si>
    <t>F11</t>
  </si>
  <si>
    <t>Visual design</t>
  </si>
  <si>
    <t>Overall visual design quality and brand clarity across the five pages</t>
  </si>
  <si>
    <t>Level 0: Little or no coherent design; brand is unclear; pages feel unfinished or inconsistent.</t>
  </si>
  <si>
    <t>Level 1: Basic readable layout with some brand presence, but weak hierarchy, spacing, or consistency.</t>
  </si>
  <si>
    <t>Level 2: Clear brand, consistent chrome, readable hierarchy, and solid layout on most pages.</t>
  </si>
  <si>
    <t>Level 3: Strong, polished visual system; SwapLoop brand is immediately clear; consistent spacing, typography, and section design throughout.</t>
  </si>
  <si>
    <t>Layout craft for required special sections (timeline, tabs, station cards, pricing, fleets comparison)</t>
  </si>
  <si>
    <t>Level 0: Special sections are missing, broken, or barely usable.</t>
  </si>
  <si>
    <t>Level 1: Required sections exist but look crude or hard to scan.</t>
  </si>
  <si>
    <t>Level 2: Special sections are clear and usable with good structure at the main breakpoints.</t>
  </si>
  <si>
    <t>Level 3: Special sections are well crafted, easy to scan, and feel intentional on mobile, tablet, and desktop.</t>
  </si>
  <si>
    <t>Criterion G</t>
  </si>
  <si>
    <t>G1</t>
  </si>
  <si>
    <t>Team</t>
  </si>
  <si>
    <t>4</t>
  </si>
  <si>
    <t>The competitor was able to work and organize the project files within the team</t>
  </si>
  <si>
    <t>Present the implementation</t>
  </si>
  <si>
    <t>Deduct 0.5 for missing communication or presentation</t>
  </si>
  <si>
    <t>Criterion H</t>
  </si>
  <si>
    <t>Criterion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</si>
</sst>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theme="1"/>
      <name val="Arial"/>
      <family val="2"/>
    </font>
    <font>
      <sz val="8"/>
      <name val="Arial"/>
      <family val="2"/>
    </font>
    <font>
      <sz val="10"/>
      <name val="Arial"/>
      <family val="2"/>
    </font>
    <font>
      <sz val="10"/>
      <color indexed="9"/>
      <name val="Arial"/>
      <family val="2"/>
    </font>
    <font>
      <sz val="16"/>
      <name val="Arial"/>
      <family val="2"/>
    </font>
    <font>
      <sz val="16"/>
      <color indexed="8"/>
      <name val="Arial"/>
      <family val="2"/>
    </font>
    <font>
      <sz val="10"/>
      <color rgb="FFFFFFFF"/>
      <name val="Arial"/>
      <family val="2"/>
    </font>
    <font>
      <sz val="18"/>
      <color indexed="9"/>
      <name val="Arial"/>
      <family val="2"/>
    </font>
    <font>
      <sz val="16"/>
      <color indexed="9"/>
      <name val="Arial"/>
      <family val="2"/>
    </font>
    <font>
      <name val="Arial"/>
      <sz val="10.0"/>
    </font>
  </fonts>
  <fills count="7">
    <fill>
      <patternFill patternType="none"/>
    </fill>
    <fill>
      <patternFill patternType="gray125"/>
    </fill>
    <fill>
      <patternFill patternType="solid">
        <fgColor indexed="55"/>
        <bgColor indexed="64"/>
      </patternFill>
    </fill>
    <fill>
      <patternFill patternType="solid">
        <fgColor rgb="FF969696"/>
        <bgColor rgb="FF000000"/>
      </patternFill>
    </fill>
    <fill>
      <patternFill/>
    </fill>
    <fill>
      <patternFill>
        <fgColor indexed="64"/>
      </patternFill>
    </fill>
    <fill>
      <patternFill>
        <fgColor indexed="64"/>
        <bgColor indexed="64"/>
      </patternFill>
    </fill>
  </fills>
  <borders count="29">
    <border>
      <left/>
      <right/>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right style="medium"/>
    </border>
    <border>
      <right style="medium">
        <color indexed="8"/>
      </right>
    </border>
    <border>
      <left style="medium"/>
      <right style="medium"/>
    </border>
    <border>
      <left style="medium"/>
      <right style="medium">
        <color indexed="8"/>
      </right>
    </border>
    <border>
      <right style="medium">
        <color indexed="8"/>
      </right>
      <bottom style="medium"/>
    </border>
    <border>
      <right style="medium">
        <color indexed="8"/>
      </right>
      <bottom style="medium">
        <color indexed="8"/>
      </bottom>
    </border>
    <border>
      <left style="medium">
        <color indexed="8"/>
      </left>
      <right style="medium">
        <color indexed="8"/>
      </right>
    </border>
    <border>
      <left style="medium">
        <color indexed="8"/>
      </left>
      <right style="medium">
        <color indexed="8"/>
      </right>
      <bottom style="medium"/>
    </border>
    <border>
      <left style="medium">
        <color indexed="8"/>
      </left>
      <right style="medium">
        <color indexed="8"/>
      </right>
      <bottom style="medium">
        <color indexed="8"/>
      </bottom>
    </border>
    <border>
      <right style="medium"/>
      <bottom>
        <color indexed="8"/>
      </bottom>
    </border>
    <border>
      <left>
        <color indexed="8"/>
      </left>
      <right style="medium"/>
      <bottom>
        <color indexed="8"/>
      </bottom>
    </border>
    <border>
      <left>
        <color indexed="8"/>
      </left>
      <right style="medium">
        <color indexed="8"/>
      </right>
      <bottom>
        <color indexed="8"/>
      </bottom>
    </border>
    <border>
      <left>
        <color indexed="8"/>
      </left>
      <right style="medium">
        <color indexed="8"/>
      </right>
      <top>
        <color indexed="8"/>
      </top>
      <bottom>
        <color indexed="8"/>
      </bottom>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right style="medium"/>
      <bottom style="medium"/>
    </border>
    <border>
      <right style="medium"/>
      <bottom style="medium">
        <color indexed="8"/>
      </bottom>
    </border>
    <border>
      <left>
        <color indexed="8"/>
      </left>
      <right style="medium"/>
      <bottom style="medium">
        <color indexed="8"/>
      </bottom>
    </border>
    <border>
      <left>
        <color indexed="8"/>
      </left>
      <right style="medium">
        <color indexed="8"/>
      </right>
      <bottom style="medium">
        <color indexed="8"/>
      </bottom>
    </border>
    <border>
      <left>
        <color indexed="8"/>
      </left>
      <right style="medium">
        <color indexed="8"/>
      </right>
      <top>
        <color indexed="8"/>
      </top>
      <bottom style="medium">
        <color indexed="8"/>
      </bottom>
    </border>
  </borders>
  <cellStyleXfs count="1">
    <xf numFmtId="0" fontId="0" fillId="0" borderId="0"/>
  </cellStyleXfs>
  <cellXfs count="156">
    <xf numFmtId="0" fontId="0" fillId="0" borderId="0" xfId="0"/>
    <xf numFmtId="0" fontId="0" fillId="0" borderId="0" xfId="0" applyFont="1"/>
    <xf numFmtId="0" fontId="2" fillId="0" borderId="0" xfId="0" applyFont="1" applyFill="1" applyBorder="1" applyAlignment="1">
      <alignment horizontal="center" vertical="center"/>
    </xf>
    <xf numFmtId="2" fontId="0" fillId="0" borderId="0" xfId="0" applyNumberFormat="1"/>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2" fillId="0" borderId="0" xfId="0" applyFont="1" applyAlignment="1">
      <alignment horizontal="center" vertical="center"/>
    </xf>
    <xf numFmtId="0" fontId="3" fillId="2" borderId="5"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0" fillId="0" borderId="0" xfId="0" applyAlignment="1">
      <alignment horizontal="center" vertical="center"/>
    </xf>
    <xf numFmtId="0" fontId="0" fillId="0" borderId="1" xfId="0" applyBorder="1"/>
    <xf numFmtId="0" fontId="0" fillId="0" borderId="0" xfId="0" applyBorder="1" applyAlignment="1">
      <alignment horizontal="center" vertical="center"/>
    </xf>
    <xf numFmtId="0" fontId="0" fillId="0" borderId="0" xfId="0"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9" fillId="0" borderId="0" xfId="0" applyFont="true" applyAlignment="true">
      <alignment horizontal="left" vertical="center"/>
    </xf>
    <xf numFmtId="0" fontId="9" fillId="0" borderId="0" xfId="0" applyFont="true" applyAlignment="true">
      <alignment horizontal="center" vertical="center"/>
    </xf>
    <xf numFmtId="2" fontId="9" fillId="0" borderId="0" xfId="0" applyFont="true" applyAlignment="true" applyNumberFormat="true">
      <alignment horizontal="center" vertical="center"/>
    </xf>
    <xf numFmtId="0" fontId="9" fillId="0" borderId="7" xfId="0" applyFont="true" applyAlignment="true" applyBorder="true">
      <alignment horizontal="left" vertical="center"/>
    </xf>
    <xf numFmtId="0" fontId="9" fillId="0" borderId="9" xfId="0" applyFont="true" applyAlignment="true" applyBorder="true">
      <alignment horizontal="center" vertical="center"/>
    </xf>
    <xf numFmtId="2" fontId="9" fillId="0" borderId="9" xfId="0" applyFont="true" applyAlignment="true" applyBorder="true" applyNumberFormat="true">
      <alignment horizontal="center" vertical="center"/>
    </xf>
    <xf numFmtId="2" fontId="9" fillId="0" borderId="7" xfId="0" applyFont="true" applyAlignment="true" applyBorder="true" applyNumberFormat="true">
      <alignment horizontal="center" vertical="center"/>
    </xf>
    <xf numFmtId="0" fontId="9" fillId="0" borderId="11" xfId="0" applyFont="true" applyAlignment="true" applyBorder="true">
      <alignment horizontal="left" vertical="center"/>
    </xf>
    <xf numFmtId="0" fontId="9" fillId="0" borderId="14" xfId="0" applyFont="true" applyAlignment="true" applyBorder="true">
      <alignment horizontal="center" vertical="center"/>
    </xf>
    <xf numFmtId="2" fontId="9" fillId="0" borderId="14" xfId="0" applyFont="true" applyAlignment="true" applyBorder="true" applyNumberFormat="true">
      <alignment horizontal="center" vertical="center"/>
    </xf>
    <xf numFmtId="0" fontId="0" fillId="6" borderId="18"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3" xfId="0" applyAlignment="true" applyBorder="true" applyNumberFormat="true" applyFill="true" applyFont="true" quotePrefix="false">
      <alignment horizontal="general" vertical="bottom" indent="0" textRotation="0" wrapText="false" shrinkToFit="false"/>
      <protection hidden="false" locked="true"/>
    </xf>
    <xf numFmtId="0" fontId="0" fillId="6" borderId="28" xfId="0" applyAlignment="true" applyBorder="true" applyNumberFormat="true" applyFill="true" applyFont="true" quotePrefix="false">
      <alignment horizontal="general" vertical="bottom" indent="0" textRotation="0" wrapText="false" shrinkToFit="false"/>
      <protection hidden="false" locked="true"/>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2" fontId="4" fillId="0" borderId="0" xfId="0" applyNumberFormat="1" applyFont="1" applyFill="1" applyBorder="1" applyAlignment="1">
      <alignment horizontal="center"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vmlDrawing1.vml.rels><?xml version="1.0" encoding="UTF-8" standalone="yes"?><Relationships xmlns="http://schemas.openxmlformats.org/package/2006/relationships"><Relationship Id="rId1" Target="../media/image1.png" Type="http://schemas.openxmlformats.org/officeDocument/2006/relationships/image"/></Relationships>
</file>

<file path=xl/drawings/_rels/vmlDrawing2.vml.rels><?xml version="1.0" encoding="UTF-8" standalone="yes"?><Relationships xmlns="http://schemas.openxmlformats.org/package/2006/relationships"><Relationship Id="rId1" Target="../media/image1.png" Type="http://schemas.openxmlformats.org/officeDocument/2006/relationships/imag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7"/>
  <sheetViews>
    <sheetView tabSelected="1" workbookViewId="0">
      <selection activeCell="F21" sqref="F21"/>
    </sheetView>
  </sheetViews>
  <sheetFormatPr baseColWidth="10" defaultColWidth="8.83203125" defaultRowHeight="13" x14ac:dyDescent="0.15"/>
  <cols>
    <col min="1" max="1" customWidth="true" width="7.6640625"/>
    <col min="2" max="2" customWidth="true" width="39.0"/>
    <col min="3" max="3" customWidth="true" width="7.83203125"/>
    <col min="4" max="4" customWidth="true" width="8.5"/>
    <col min="5" max="5" customWidth="true" width="52.1640625"/>
    <col min="6" max="6" customWidth="true" width="8.0"/>
    <col min="7" max="7" customWidth="true" width="46.6640625"/>
    <col min="8" max="8" customWidth="true" width="15.5"/>
    <col min="9" max="9" customWidth="true" width="11.33203125"/>
    <col min="10" max="10" customWidth="true" width="11.0"/>
    <col min="11" max="11" customWidth="true" width="10.6640625"/>
    <col min="12" max="12" customWidth="true" width="18.5"/>
    <col min="14" max="14" bestFit="true" customWidth="true" width="10.6640625"/>
  </cols>
  <sheetData>
    <row r="1" spans="1:14" ht="49" customHeight="1" thickBot="1" x14ac:dyDescent="0.2">
      <c r="A1" s="26" t="s">
        <v>24</v>
      </c>
      <c r="B1" s="27"/>
      <c r="C1" s="27"/>
      <c r="D1" s="27"/>
      <c r="E1" s="27"/>
      <c r="F1" s="27"/>
      <c r="G1" s="27"/>
      <c r="H1" s="27"/>
      <c r="I1" s="27"/>
      <c r="J1" s="27"/>
      <c r="K1" s="28"/>
    </row>
    <row r="2" spans="1:14" ht="36" customHeight="1" thickBot="1" x14ac:dyDescent="0.2">
      <c r="C2" s="2"/>
      <c r="E2" s="2"/>
      <c r="J2" s="2"/>
    </row>
    <row r="3" spans="1:14" ht="35" customHeight="1" thickBot="1" x14ac:dyDescent="0.2">
      <c r="A3" s="20" t="s">
        <v>21</v>
      </c>
      <c r="B3" s="21"/>
      <c r="C3" s="21"/>
      <c r="D3" s="21"/>
      <c r="E3" s="21"/>
      <c r="F3" s="21"/>
      <c r="G3" s="21"/>
      <c r="H3" s="21"/>
      <c r="I3" s="21"/>
      <c r="J3" s="21"/>
      <c r="K3" s="22"/>
    </row>
    <row r="4" spans="1:14" ht="35" customHeight="1" thickBot="1" x14ac:dyDescent="0.2">
      <c r="A4" s="11" t="s">
        <v>12</v>
      </c>
      <c r="B4" s="17" t="s">
        <v>22</v>
      </c>
      <c r="C4" s="18"/>
      <c r="D4" s="18"/>
      <c r="E4" s="18"/>
      <c r="F4" s="18"/>
      <c r="G4" s="18"/>
      <c r="H4" s="19"/>
      <c r="I4" s="12" t="s">
        <v>22</v>
      </c>
      <c r="J4" s="12" t="s">
        <v>14</v>
      </c>
      <c r="K4" s="12" t="s">
        <v>18</v>
      </c>
    </row>
    <row r="5" ht="25.0" customHeight="true">
      <c r="A5" t="n" s="35">
        <v>1.0</v>
      </c>
      <c r="B5" t="s" s="34">
        <v>25</v>
      </c>
      <c r="H5" s="41"/>
      <c r="I5" t="n" s="37">
        <v>11.5</v>
      </c>
      <c r="J5" s="36">
        <f>SUMIF(I27:I436, A5, K27:K436)</f>
      </c>
      <c r="K5" s="36">
        <f>ABS(I5-J5)</f>
      </c>
    </row>
    <row r="6" ht="25.0" customHeight="true">
      <c r="A6" t="n" s="35">
        <v>2.0</v>
      </c>
      <c r="B6" t="s" s="34">
        <v>26</v>
      </c>
      <c r="H6" s="41"/>
      <c r="I6" t="n" s="37">
        <v>9.6</v>
      </c>
      <c r="J6" s="36">
        <f>SUMIF(I27:I436, A6, K27:K436)</f>
      </c>
      <c r="K6" s="36">
        <f>ABS(I6-J6)</f>
      </c>
    </row>
    <row r="7" ht="25.0" customHeight="true">
      <c r="A7" t="n" s="35">
        <v>3.0</v>
      </c>
      <c r="B7" t="s" s="34">
        <v>27</v>
      </c>
      <c r="H7" s="41"/>
      <c r="I7" t="n" s="37">
        <v>19.8</v>
      </c>
      <c r="J7" s="36">
        <f>SUMIF(I27:I436, A7, K27:K436)</f>
      </c>
      <c r="K7" s="36">
        <f>ABS(I7-J7)</f>
      </c>
    </row>
    <row r="8" ht="25.0" customHeight="true">
      <c r="A8" t="n" s="35">
        <v>4.0</v>
      </c>
      <c r="B8" t="s" s="34">
        <v>28</v>
      </c>
      <c r="H8" s="41"/>
      <c r="I8" t="n" s="37">
        <v>34.6</v>
      </c>
      <c r="J8" s="36">
        <f>SUMIF(I27:I436, A8, K27:K436)</f>
      </c>
      <c r="K8" s="36">
        <f>ABS(I8-J8)</f>
      </c>
    </row>
    <row r="9" ht="25.0" customHeight="true">
      <c r="A9" t="n" s="39">
        <v>5.0</v>
      </c>
      <c r="B9" t="s" s="38">
        <v>29</v>
      </c>
      <c r="C9" s="42"/>
      <c r="D9" s="42"/>
      <c r="E9" s="42"/>
      <c r="F9" s="42"/>
      <c r="G9" s="42"/>
      <c r="H9" s="43"/>
      <c r="I9" t="n" s="40">
        <v>24.5</v>
      </c>
      <c r="J9" s="40">
        <f>SUMIF(I27:I436, A9, K27:K436)</f>
      </c>
      <c r="K9" s="40">
        <f>ABS(I9-J9)</f>
      </c>
    </row>
    <row r="10" spans="1:14" ht="25.0" customHeight="true" thickBot="1" x14ac:dyDescent="0.2">
      <c r="C10" s="10"/>
      <c r="E10" s="10"/>
      <c r="I10" s="29" t="s">
        <v>20</v>
      </c>
      <c r="J10" s="30"/>
      <c r="K10" s="40">
        <f>SUM(K5:K9)</f>
      </c>
    </row>
    <row r="11" spans="1:14" ht="20" customHeight="1" x14ac:dyDescent="0.15">
      <c r="C11" s="10"/>
      <c r="E11" s="10"/>
      <c r="I11" s="15"/>
      <c r="J11" s="15"/>
      <c r="K11" s="16"/>
    </row>
    <row r="12" spans="1:14" ht="20" customHeight="1" thickBot="1" x14ac:dyDescent="0.2">
      <c r="C12" s="10"/>
      <c r="E12" s="10"/>
      <c r="I12" s="13"/>
      <c r="J12" s="10"/>
    </row>
    <row r="13" spans="1:14" ht="35.0" customHeight="true" thickBot="1" x14ac:dyDescent="0.2">
      <c r="A13" s="20" t="s">
        <v>17</v>
      </c>
      <c r="B13" s="21"/>
      <c r="C13" s="21"/>
      <c r="D13" s="21"/>
      <c r="E13" s="21"/>
      <c r="F13" s="21"/>
      <c r="G13" s="21"/>
      <c r="H13" s="21"/>
      <c r="I13" s="21"/>
      <c r="J13" s="21"/>
      <c r="K13" s="22"/>
    </row>
    <row r="14" spans="1:14" ht="35.0" customHeight="true" thickBot="1" x14ac:dyDescent="0.2">
      <c r="A14" s="11" t="s">
        <v>19</v>
      </c>
      <c r="B14" s="23" t="s">
        <v>13</v>
      </c>
      <c r="C14" s="24"/>
      <c r="D14" s="24"/>
      <c r="E14" s="24"/>
      <c r="F14" s="24"/>
      <c r="G14" s="24"/>
      <c r="H14" s="24"/>
      <c r="I14" s="24"/>
      <c r="J14" s="25"/>
      <c r="K14" s="11" t="s">
        <v>0</v>
      </c>
    </row>
    <row r="15" ht="25.0" customHeight="true">
      <c r="A15" t="s" s="35">
        <v>30</v>
      </c>
      <c r="B15" t="s" s="34">
        <v>31</v>
      </c>
      <c r="J15" s="41"/>
      <c r="K15" t="n" s="37">
        <v>12.0</v>
      </c>
    </row>
    <row r="16" ht="25.0" customHeight="true">
      <c r="A16" t="s" s="35">
        <v>32</v>
      </c>
      <c r="B16" t="s" s="34">
        <v>33</v>
      </c>
      <c r="J16" s="41"/>
      <c r="K16" t="n" s="37">
        <v>17.0</v>
      </c>
    </row>
    <row r="17" ht="25.0" customHeight="true">
      <c r="A17" t="s" s="35">
        <v>34</v>
      </c>
      <c r="B17" t="s" s="34">
        <v>35</v>
      </c>
      <c r="J17" s="41"/>
      <c r="K17" t="n" s="37">
        <v>17.0</v>
      </c>
    </row>
    <row r="18" ht="25.0" customHeight="true">
      <c r="A18" t="s" s="35">
        <v>36</v>
      </c>
      <c r="B18" t="s" s="34">
        <v>37</v>
      </c>
      <c r="J18" s="41"/>
      <c r="K18" t="n" s="37">
        <v>17.0</v>
      </c>
    </row>
    <row r="19" ht="25.0" customHeight="true">
      <c r="A19" t="s" s="35">
        <v>38</v>
      </c>
      <c r="B19" t="s" s="34">
        <v>39</v>
      </c>
      <c r="J19" s="41"/>
      <c r="K19" t="n" s="37">
        <v>16.0</v>
      </c>
    </row>
    <row r="20" ht="25.0" customHeight="true">
      <c r="A20" t="s" s="35">
        <v>40</v>
      </c>
      <c r="B20" t="s" s="34">
        <v>41</v>
      </c>
      <c r="J20" s="41"/>
      <c r="K20" t="n" s="37">
        <v>17.0</v>
      </c>
    </row>
    <row r="21" ht="25.0" customHeight="true">
      <c r="A21" t="s" s="35">
        <v>42</v>
      </c>
      <c r="B21" t="s" s="34">
        <v>43</v>
      </c>
      <c r="J21" s="41"/>
      <c r="K21" t="n" s="37">
        <v>4.0</v>
      </c>
    </row>
    <row r="22" ht="25.0" customHeight="true">
      <c r="A22" t="s" s="35">
        <v>44</v>
      </c>
      <c r="B22" s="34"/>
      <c r="J22" s="41"/>
      <c r="K22" s="37"/>
    </row>
    <row r="23" ht="25.0" customHeight="true">
      <c r="A23" t="s" s="39">
        <v>45</v>
      </c>
      <c r="B23" s="38"/>
      <c r="C23" s="42"/>
      <c r="D23" s="42"/>
      <c r="E23" s="42"/>
      <c r="F23" s="42"/>
      <c r="G23" s="42"/>
      <c r="H23" s="42"/>
      <c r="I23" s="42"/>
      <c r="J23" s="43"/>
      <c r="K23" s="40"/>
    </row>
    <row r="24" spans="1:14" ht="20" customHeight="1" x14ac:dyDescent="0.15">
      <c r="F24" s="8"/>
      <c r="G24" s="9"/>
      <c r="H24" s="9"/>
      <c r="I24" s="9"/>
      <c r="J24" s="3"/>
    </row>
    <row r="25" spans="1:14" ht="20" customHeight="1" thickBot="1" x14ac:dyDescent="0.2">
      <c r="C25" s="3"/>
      <c r="H25" s="3"/>
      <c r="I25" s="3"/>
      <c r="J25" s="3"/>
    </row>
    <row r="26" spans="1:14" ht="71" thickBot="1" x14ac:dyDescent="0.2">
      <c r="A26" s="4" t="s">
        <v>15</v>
      </c>
      <c r="B26" s="4" t="s">
        <v>16</v>
      </c>
      <c r="C26" s="4" t="s">
        <v>10</v>
      </c>
      <c r="D26" s="4" t="s">
        <v>6</v>
      </c>
      <c r="E26" s="4" t="s">
        <v>1</v>
      </c>
      <c r="F26" s="4" t="s">
        <v>2</v>
      </c>
      <c r="G26" s="4" t="s">
        <v>8</v>
      </c>
      <c r="H26" s="4" t="s">
        <v>9</v>
      </c>
      <c r="I26" s="4" t="s">
        <v>23</v>
      </c>
      <c r="J26" s="4" t="s">
        <v>11</v>
      </c>
      <c r="K26" s="4" t="s">
        <v>3</v>
      </c>
      <c r="L26" s="5" t="s">
        <v>7</v>
      </c>
      <c r="M26" s="6" t="s">
        <v>4</v>
      </c>
      <c r="N26" s="7">
        <f>SUM(K27:K78)</f>
      </c>
    </row>
    <row r="27">
      <c r="A27" s="35" t="s">
        <v>46</v>
      </c>
      <c r="B27" s="34" t="s">
        <v>47</v>
      </c>
      <c r="C27" s="35" t="s">
        <v>49</v>
      </c>
      <c r="D27" s="34" t="s">
        <v>48</v>
      </c>
      <c r="E27" s="34" t="s">
        <v>48</v>
      </c>
      <c r="F27" s="34" t="s">
        <v>48</v>
      </c>
      <c r="G27" s="34" t="s">
        <v>48</v>
      </c>
      <c r="H27" s="34" t="s">
        <v>48</v>
      </c>
      <c r="I27" s="34" t="s">
        <v>48</v>
      </c>
      <c r="J27" s="34" t="s">
        <v>48</v>
      </c>
      <c r="K27" s="34" t="s">
        <v>48</v>
      </c>
    </row>
    <row r="28">
      <c r="A28" s="35" t="s">
        <v>48</v>
      </c>
      <c r="B28" s="34" t="s">
        <v>48</v>
      </c>
      <c r="C28" s="35" t="s">
        <v>48</v>
      </c>
      <c r="D28" s="35" t="s">
        <v>50</v>
      </c>
      <c r="E28" s="34" t="s">
        <v>51</v>
      </c>
      <c r="F28" s="35" t="s">
        <v>48</v>
      </c>
      <c r="G28" s="34" t="s">
        <v>52</v>
      </c>
      <c r="H28" s="34" t="s">
        <v>48</v>
      </c>
      <c r="I28" s="35" t="n">
        <v>1.0</v>
      </c>
      <c r="J28" s="35"/>
      <c r="K28" s="37" t="n">
        <v>0.25</v>
      </c>
    </row>
    <row r="29">
      <c r="A29" s="35" t="s">
        <v>48</v>
      </c>
      <c r="B29" s="34" t="s">
        <v>48</v>
      </c>
      <c r="C29" s="35" t="s">
        <v>48</v>
      </c>
      <c r="D29" s="35" t="s">
        <v>50</v>
      </c>
      <c r="E29" s="34" t="s">
        <v>53</v>
      </c>
      <c r="F29" s="35" t="s">
        <v>48</v>
      </c>
      <c r="G29" s="34" t="s">
        <v>54</v>
      </c>
      <c r="H29" s="34" t="s">
        <v>48</v>
      </c>
      <c r="I29" s="35" t="n">
        <v>1.0</v>
      </c>
      <c r="J29" s="35"/>
      <c r="K29" s="37" t="n">
        <v>0.75</v>
      </c>
    </row>
    <row r="30">
      <c r="A30" s="35" t="s">
        <v>48</v>
      </c>
      <c r="B30" s="34" t="s">
        <v>48</v>
      </c>
      <c r="C30" s="35" t="s">
        <v>48</v>
      </c>
      <c r="D30" s="35" t="s">
        <v>50</v>
      </c>
      <c r="E30" s="34" t="s">
        <v>55</v>
      </c>
      <c r="F30" s="35" t="s">
        <v>48</v>
      </c>
      <c r="G30" s="34" t="s">
        <v>56</v>
      </c>
      <c r="H30" s="34" t="s">
        <v>48</v>
      </c>
      <c r="I30" s="35" t="n">
        <v>2.0</v>
      </c>
      <c r="J30" s="35"/>
      <c r="K30" s="37" t="n">
        <v>0.5</v>
      </c>
    </row>
    <row r="31">
      <c r="A31" s="35" t="s">
        <v>48</v>
      </c>
      <c r="B31" s="34" t="s">
        <v>48</v>
      </c>
      <c r="C31" s="35" t="s">
        <v>48</v>
      </c>
      <c r="D31" s="35" t="s">
        <v>50</v>
      </c>
      <c r="E31" s="34" t="s">
        <v>57</v>
      </c>
      <c r="F31" s="35" t="s">
        <v>48</v>
      </c>
      <c r="G31" s="34" t="s">
        <v>58</v>
      </c>
      <c r="H31" s="34" t="s">
        <v>48</v>
      </c>
      <c r="I31" s="35" t="n">
        <v>2.0</v>
      </c>
      <c r="J31" s="35"/>
      <c r="K31" s="37" t="n">
        <v>0.25</v>
      </c>
    </row>
    <row r="32">
      <c r="A32" s="35" t="s">
        <v>48</v>
      </c>
      <c r="B32" s="34" t="s">
        <v>48</v>
      </c>
      <c r="C32" s="35" t="s">
        <v>48</v>
      </c>
      <c r="D32" s="35" t="s">
        <v>50</v>
      </c>
      <c r="E32" s="34" t="s">
        <v>59</v>
      </c>
      <c r="F32" s="35" t="s">
        <v>48</v>
      </c>
      <c r="G32" s="34" t="s">
        <v>60</v>
      </c>
      <c r="H32" s="34" t="s">
        <v>48</v>
      </c>
      <c r="I32" s="35" t="n">
        <v>2.0</v>
      </c>
      <c r="J32" s="35"/>
      <c r="K32" s="37" t="n">
        <v>0.25</v>
      </c>
    </row>
    <row r="33">
      <c r="A33" s="35" t="s">
        <v>48</v>
      </c>
      <c r="B33" s="34" t="s">
        <v>48</v>
      </c>
      <c r="C33" s="35" t="s">
        <v>48</v>
      </c>
      <c r="D33" s="35" t="s">
        <v>61</v>
      </c>
      <c r="E33" s="34" t="s">
        <v>62</v>
      </c>
      <c r="F33" s="35" t="s">
        <v>48</v>
      </c>
      <c r="G33" s="34" t="s">
        <v>48</v>
      </c>
      <c r="H33" s="34" t="s">
        <v>48</v>
      </c>
      <c r="I33" s="35" t="n">
        <v>1.0</v>
      </c>
      <c r="J33" s="35"/>
      <c r="K33" s="37" t="n">
        <v>1.0</v>
      </c>
    </row>
    <row r="34">
      <c r="A34" s="35" t="s">
        <v>48</v>
      </c>
      <c r="B34" s="34" t="s">
        <v>48</v>
      </c>
      <c r="C34" s="35" t="s">
        <v>48</v>
      </c>
      <c r="D34" s="35" t="s">
        <v>48</v>
      </c>
      <c r="E34" s="34" t="s">
        <v>48</v>
      </c>
      <c r="F34" s="35" t="n">
        <v>0.0</v>
      </c>
      <c r="G34" s="34" t="s">
        <v>63</v>
      </c>
      <c r="H34" s="34" t="s">
        <v>48</v>
      </c>
      <c r="I34" s="35"/>
      <c r="J34" s="35"/>
      <c r="K34" s="37"/>
    </row>
    <row r="35">
      <c r="A35" s="35" t="s">
        <v>48</v>
      </c>
      <c r="B35" s="34" t="s">
        <v>48</v>
      </c>
      <c r="C35" s="35" t="s">
        <v>48</v>
      </c>
      <c r="D35" s="35" t="s">
        <v>48</v>
      </c>
      <c r="E35" s="34" t="s">
        <v>48</v>
      </c>
      <c r="F35" s="35" t="n">
        <v>1.0</v>
      </c>
      <c r="G35" s="34" t="s">
        <v>64</v>
      </c>
      <c r="H35" s="34" t="s">
        <v>48</v>
      </c>
      <c r="I35" s="35"/>
      <c r="J35" s="35"/>
      <c r="K35" s="37"/>
    </row>
    <row r="36">
      <c r="A36" s="35" t="s">
        <v>48</v>
      </c>
      <c r="B36" s="34" t="s">
        <v>48</v>
      </c>
      <c r="C36" s="35" t="s">
        <v>48</v>
      </c>
      <c r="D36" s="35" t="s">
        <v>48</v>
      </c>
      <c r="E36" s="34" t="s">
        <v>48</v>
      </c>
      <c r="F36" s="35" t="n">
        <v>2.0</v>
      </c>
      <c r="G36" s="34" t="s">
        <v>65</v>
      </c>
      <c r="H36" s="34" t="s">
        <v>48</v>
      </c>
      <c r="I36" s="35"/>
      <c r="J36" s="35"/>
      <c r="K36" s="37"/>
    </row>
    <row r="37">
      <c r="A37" s="35" t="s">
        <v>48</v>
      </c>
      <c r="B37" s="34" t="s">
        <v>48</v>
      </c>
      <c r="C37" s="35" t="s">
        <v>48</v>
      </c>
      <c r="D37" s="35" t="s">
        <v>48</v>
      </c>
      <c r="E37" s="34" t="s">
        <v>48</v>
      </c>
      <c r="F37" s="35" t="n">
        <v>3.0</v>
      </c>
      <c r="G37" s="34" t="s">
        <v>66</v>
      </c>
      <c r="H37" s="34" t="s">
        <v>48</v>
      </c>
      <c r="I37" s="35"/>
      <c r="J37" s="35"/>
      <c r="K37" s="37"/>
    </row>
    <row r="38">
      <c r="A38" s="35" t="s">
        <v>67</v>
      </c>
      <c r="B38" s="34" t="s">
        <v>68</v>
      </c>
      <c r="C38" s="35" t="s">
        <v>49</v>
      </c>
      <c r="D38" s="34" t="s">
        <v>48</v>
      </c>
      <c r="E38" s="34" t="s">
        <v>48</v>
      </c>
      <c r="F38" s="34" t="s">
        <v>48</v>
      </c>
      <c r="G38" s="34" t="s">
        <v>48</v>
      </c>
      <c r="H38" s="34" t="s">
        <v>48</v>
      </c>
      <c r="I38" s="34" t="s">
        <v>48</v>
      </c>
      <c r="J38" s="34" t="s">
        <v>48</v>
      </c>
      <c r="K38" s="34" t="s">
        <v>48</v>
      </c>
    </row>
    <row r="39">
      <c r="A39" s="35" t="s">
        <v>48</v>
      </c>
      <c r="B39" s="34" t="s">
        <v>48</v>
      </c>
      <c r="C39" s="35" t="s">
        <v>48</v>
      </c>
      <c r="D39" s="35" t="s">
        <v>50</v>
      </c>
      <c r="E39" s="34" t="s">
        <v>69</v>
      </c>
      <c r="F39" s="35" t="s">
        <v>48</v>
      </c>
      <c r="G39" s="34" t="s">
        <v>70</v>
      </c>
      <c r="H39" s="34" t="s">
        <v>48</v>
      </c>
      <c r="I39" s="35" t="n">
        <v>3.0</v>
      </c>
      <c r="J39" s="35"/>
      <c r="K39" s="37" t="n">
        <v>0.25</v>
      </c>
    </row>
    <row r="40">
      <c r="A40" s="35" t="s">
        <v>48</v>
      </c>
      <c r="B40" s="34" t="s">
        <v>48</v>
      </c>
      <c r="C40" s="35" t="s">
        <v>48</v>
      </c>
      <c r="D40" s="35" t="s">
        <v>50</v>
      </c>
      <c r="E40" s="34" t="s">
        <v>71</v>
      </c>
      <c r="F40" s="35" t="s">
        <v>48</v>
      </c>
      <c r="G40" s="34" t="s">
        <v>72</v>
      </c>
      <c r="H40" s="34" t="s">
        <v>48</v>
      </c>
      <c r="I40" s="35" t="n">
        <v>3.0</v>
      </c>
      <c r="J40" s="35"/>
      <c r="K40" s="37" t="n">
        <v>0.25</v>
      </c>
    </row>
    <row r="41">
      <c r="A41" s="35" t="s">
        <v>48</v>
      </c>
      <c r="B41" s="34" t="s">
        <v>48</v>
      </c>
      <c r="C41" s="35" t="s">
        <v>48</v>
      </c>
      <c r="D41" s="35" t="s">
        <v>50</v>
      </c>
      <c r="E41" s="34" t="s">
        <v>73</v>
      </c>
      <c r="F41" s="35" t="s">
        <v>48</v>
      </c>
      <c r="G41" s="34" t="s">
        <v>74</v>
      </c>
      <c r="H41" s="34" t="s">
        <v>48</v>
      </c>
      <c r="I41" s="35" t="n">
        <v>3.0</v>
      </c>
      <c r="J41" s="35"/>
      <c r="K41" s="37" t="n">
        <v>0.25</v>
      </c>
    </row>
    <row r="42">
      <c r="A42" s="35" t="s">
        <v>75</v>
      </c>
      <c r="B42" s="34" t="s">
        <v>76</v>
      </c>
      <c r="C42" s="35" t="s">
        <v>49</v>
      </c>
      <c r="D42" s="34" t="s">
        <v>48</v>
      </c>
      <c r="E42" s="34" t="s">
        <v>48</v>
      </c>
      <c r="F42" s="34" t="s">
        <v>48</v>
      </c>
      <c r="G42" s="34" t="s">
        <v>48</v>
      </c>
      <c r="H42" s="34" t="s">
        <v>48</v>
      </c>
      <c r="I42" s="34" t="s">
        <v>48</v>
      </c>
      <c r="J42" s="34" t="s">
        <v>48</v>
      </c>
      <c r="K42" s="34" t="s">
        <v>48</v>
      </c>
    </row>
    <row r="43">
      <c r="A43" s="35" t="s">
        <v>48</v>
      </c>
      <c r="B43" s="34" t="s">
        <v>48</v>
      </c>
      <c r="C43" s="35" t="s">
        <v>48</v>
      </c>
      <c r="D43" s="35" t="s">
        <v>50</v>
      </c>
      <c r="E43" s="34" t="s">
        <v>77</v>
      </c>
      <c r="F43" s="35" t="s">
        <v>48</v>
      </c>
      <c r="G43" s="34" t="s">
        <v>78</v>
      </c>
      <c r="H43" s="34" t="s">
        <v>48</v>
      </c>
      <c r="I43" s="35" t="n">
        <v>3.0</v>
      </c>
      <c r="J43" s="35"/>
      <c r="K43" s="37" t="n">
        <v>0.25</v>
      </c>
    </row>
    <row r="44">
      <c r="A44" s="35" t="s">
        <v>48</v>
      </c>
      <c r="B44" s="34" t="s">
        <v>48</v>
      </c>
      <c r="C44" s="35" t="s">
        <v>48</v>
      </c>
      <c r="D44" s="35" t="s">
        <v>50</v>
      </c>
      <c r="E44" s="34" t="s">
        <v>79</v>
      </c>
      <c r="F44" s="35" t="s">
        <v>48</v>
      </c>
      <c r="G44" s="34" t="s">
        <v>80</v>
      </c>
      <c r="H44" s="34" t="s">
        <v>48</v>
      </c>
      <c r="I44" s="35" t="n">
        <v>3.0</v>
      </c>
      <c r="J44" s="35"/>
      <c r="K44" s="37" t="n">
        <v>0.25</v>
      </c>
    </row>
    <row r="45">
      <c r="A45" s="35" t="s">
        <v>48</v>
      </c>
      <c r="B45" s="34" t="s">
        <v>48</v>
      </c>
      <c r="C45" s="35" t="s">
        <v>48</v>
      </c>
      <c r="D45" s="35" t="s">
        <v>50</v>
      </c>
      <c r="E45" s="34" t="s">
        <v>81</v>
      </c>
      <c r="F45" s="35" t="s">
        <v>48</v>
      </c>
      <c r="G45" s="34" t="s">
        <v>82</v>
      </c>
      <c r="H45" s="34" t="s">
        <v>48</v>
      </c>
      <c r="I45" s="35" t="n">
        <v>3.0</v>
      </c>
      <c r="J45" s="35"/>
      <c r="K45" s="37" t="n">
        <v>0.25</v>
      </c>
    </row>
    <row r="46">
      <c r="A46" s="35" t="s">
        <v>83</v>
      </c>
      <c r="B46" s="34" t="s">
        <v>84</v>
      </c>
      <c r="C46" s="35" t="s">
        <v>49</v>
      </c>
      <c r="D46" s="34" t="s">
        <v>48</v>
      </c>
      <c r="E46" s="34" t="s">
        <v>48</v>
      </c>
      <c r="F46" s="34" t="s">
        <v>48</v>
      </c>
      <c r="G46" s="34" t="s">
        <v>48</v>
      </c>
      <c r="H46" s="34" t="s">
        <v>48</v>
      </c>
      <c r="I46" s="34" t="s">
        <v>48</v>
      </c>
      <c r="J46" s="34" t="s">
        <v>48</v>
      </c>
      <c r="K46" s="34" t="s">
        <v>48</v>
      </c>
    </row>
    <row r="47">
      <c r="A47" s="35" t="s">
        <v>48</v>
      </c>
      <c r="B47" s="34" t="s">
        <v>48</v>
      </c>
      <c r="C47" s="35" t="s">
        <v>48</v>
      </c>
      <c r="D47" s="35" t="s">
        <v>50</v>
      </c>
      <c r="E47" s="34" t="s">
        <v>85</v>
      </c>
      <c r="F47" s="35" t="s">
        <v>48</v>
      </c>
      <c r="G47" s="34" t="s">
        <v>86</v>
      </c>
      <c r="H47" s="34" t="s">
        <v>48</v>
      </c>
      <c r="I47" s="35" t="n">
        <v>3.0</v>
      </c>
      <c r="J47" s="35"/>
      <c r="K47" s="37" t="n">
        <v>0.5</v>
      </c>
    </row>
    <row r="48">
      <c r="A48" s="35" t="s">
        <v>48</v>
      </c>
      <c r="B48" s="34" t="s">
        <v>48</v>
      </c>
      <c r="C48" s="35" t="s">
        <v>48</v>
      </c>
      <c r="D48" s="35" t="s">
        <v>50</v>
      </c>
      <c r="E48" s="34" t="s">
        <v>87</v>
      </c>
      <c r="F48" s="35" t="s">
        <v>48</v>
      </c>
      <c r="G48" s="34" t="s">
        <v>88</v>
      </c>
      <c r="H48" s="34" t="s">
        <v>48</v>
      </c>
      <c r="I48" s="35" t="n">
        <v>3.0</v>
      </c>
      <c r="J48" s="35"/>
      <c r="K48" s="37" t="n">
        <v>0.25</v>
      </c>
    </row>
    <row r="49">
      <c r="A49" s="35" t="s">
        <v>48</v>
      </c>
      <c r="B49" s="34" t="s">
        <v>48</v>
      </c>
      <c r="C49" s="35" t="s">
        <v>48</v>
      </c>
      <c r="D49" s="35" t="s">
        <v>50</v>
      </c>
      <c r="E49" s="34" t="s">
        <v>89</v>
      </c>
      <c r="F49" s="35" t="s">
        <v>48</v>
      </c>
      <c r="G49" s="34" t="s">
        <v>90</v>
      </c>
      <c r="H49" s="34" t="s">
        <v>48</v>
      </c>
      <c r="I49" s="35" t="n">
        <v>3.0</v>
      </c>
      <c r="J49" s="35"/>
      <c r="K49" s="37" t="n">
        <v>0.25</v>
      </c>
    </row>
    <row r="50">
      <c r="A50" s="35" t="s">
        <v>48</v>
      </c>
      <c r="B50" s="34" t="s">
        <v>48</v>
      </c>
      <c r="C50" s="35" t="s">
        <v>48</v>
      </c>
      <c r="D50" s="35" t="s">
        <v>50</v>
      </c>
      <c r="E50" s="34" t="s">
        <v>91</v>
      </c>
      <c r="F50" s="35" t="s">
        <v>48</v>
      </c>
      <c r="G50" s="34" t="s">
        <v>92</v>
      </c>
      <c r="H50" s="34" t="s">
        <v>48</v>
      </c>
      <c r="I50" s="35" t="n">
        <v>3.0</v>
      </c>
      <c r="J50" s="35"/>
      <c r="K50" s="37" t="n">
        <v>0.5</v>
      </c>
    </row>
    <row r="51">
      <c r="A51" s="35" t="s">
        <v>93</v>
      </c>
      <c r="B51" s="34" t="s">
        <v>94</v>
      </c>
      <c r="C51" s="35" t="s">
        <v>49</v>
      </c>
      <c r="D51" s="34" t="s">
        <v>48</v>
      </c>
      <c r="E51" s="34" t="s">
        <v>48</v>
      </c>
      <c r="F51" s="34" t="s">
        <v>48</v>
      </c>
      <c r="G51" s="34" t="s">
        <v>48</v>
      </c>
      <c r="H51" s="34" t="s">
        <v>48</v>
      </c>
      <c r="I51" s="34" t="s">
        <v>48</v>
      </c>
      <c r="J51" s="34" t="s">
        <v>48</v>
      </c>
      <c r="K51" s="34" t="s">
        <v>48</v>
      </c>
    </row>
    <row r="52">
      <c r="A52" s="35" t="s">
        <v>48</v>
      </c>
      <c r="B52" s="34" t="s">
        <v>48</v>
      </c>
      <c r="C52" s="35" t="s">
        <v>48</v>
      </c>
      <c r="D52" s="35" t="s">
        <v>50</v>
      </c>
      <c r="E52" s="34" t="s">
        <v>95</v>
      </c>
      <c r="F52" s="35" t="s">
        <v>48</v>
      </c>
      <c r="G52" s="34" t="s">
        <v>96</v>
      </c>
      <c r="H52" s="34" t="s">
        <v>48</v>
      </c>
      <c r="I52" s="35" t="n">
        <v>4.0</v>
      </c>
      <c r="J52" s="35"/>
      <c r="K52" s="37" t="n">
        <v>0.25</v>
      </c>
    </row>
    <row r="53">
      <c r="A53" s="35" t="s">
        <v>48</v>
      </c>
      <c r="B53" s="34" t="s">
        <v>48</v>
      </c>
      <c r="C53" s="35" t="s">
        <v>48</v>
      </c>
      <c r="D53" s="35" t="s">
        <v>50</v>
      </c>
      <c r="E53" s="34" t="s">
        <v>97</v>
      </c>
      <c r="F53" s="35" t="s">
        <v>48</v>
      </c>
      <c r="G53" s="34" t="s">
        <v>98</v>
      </c>
      <c r="H53" s="34" t="s">
        <v>48</v>
      </c>
      <c r="I53" s="35" t="n">
        <v>4.0</v>
      </c>
      <c r="J53" s="35"/>
      <c r="K53" s="37" t="n">
        <v>0.25</v>
      </c>
    </row>
    <row r="54">
      <c r="A54" s="35" t="s">
        <v>48</v>
      </c>
      <c r="B54" s="34" t="s">
        <v>48</v>
      </c>
      <c r="C54" s="35" t="s">
        <v>48</v>
      </c>
      <c r="D54" s="35" t="s">
        <v>50</v>
      </c>
      <c r="E54" s="34" t="s">
        <v>99</v>
      </c>
      <c r="F54" s="35" t="s">
        <v>48</v>
      </c>
      <c r="G54" s="34" t="s">
        <v>100</v>
      </c>
      <c r="H54" s="34" t="s">
        <v>48</v>
      </c>
      <c r="I54" s="35" t="n">
        <v>4.0</v>
      </c>
      <c r="J54" s="35"/>
      <c r="K54" s="37" t="n">
        <v>0.25</v>
      </c>
    </row>
    <row r="55">
      <c r="A55" s="35" t="s">
        <v>101</v>
      </c>
      <c r="B55" s="34" t="s">
        <v>102</v>
      </c>
      <c r="C55" s="35" t="s">
        <v>49</v>
      </c>
      <c r="D55" s="34" t="s">
        <v>48</v>
      </c>
      <c r="E55" s="34" t="s">
        <v>48</v>
      </c>
      <c r="F55" s="34" t="s">
        <v>48</v>
      </c>
      <c r="G55" s="34" t="s">
        <v>48</v>
      </c>
      <c r="H55" s="34" t="s">
        <v>48</v>
      </c>
      <c r="I55" s="34" t="s">
        <v>48</v>
      </c>
      <c r="J55" s="34" t="s">
        <v>48</v>
      </c>
      <c r="K55" s="34" t="s">
        <v>48</v>
      </c>
    </row>
    <row r="56">
      <c r="A56" s="35" t="s">
        <v>48</v>
      </c>
      <c r="B56" s="34" t="s">
        <v>48</v>
      </c>
      <c r="C56" s="35" t="s">
        <v>48</v>
      </c>
      <c r="D56" s="35" t="s">
        <v>50</v>
      </c>
      <c r="E56" s="34" t="s">
        <v>103</v>
      </c>
      <c r="F56" s="35" t="s">
        <v>48</v>
      </c>
      <c r="G56" s="34" t="s">
        <v>104</v>
      </c>
      <c r="H56" s="34" t="s">
        <v>48</v>
      </c>
      <c r="I56" s="35" t="n">
        <v>4.0</v>
      </c>
      <c r="J56" s="35"/>
      <c r="K56" s="37" t="n">
        <v>0.5</v>
      </c>
    </row>
    <row r="57">
      <c r="A57" s="35" t="s">
        <v>48</v>
      </c>
      <c r="B57" s="34" t="s">
        <v>48</v>
      </c>
      <c r="C57" s="35" t="s">
        <v>48</v>
      </c>
      <c r="D57" s="35" t="s">
        <v>50</v>
      </c>
      <c r="E57" s="34" t="s">
        <v>105</v>
      </c>
      <c r="F57" s="35" t="s">
        <v>48</v>
      </c>
      <c r="G57" s="34" t="s">
        <v>106</v>
      </c>
      <c r="H57" s="34" t="s">
        <v>48</v>
      </c>
      <c r="I57" s="35" t="n">
        <v>4.0</v>
      </c>
      <c r="J57" s="35"/>
      <c r="K57" s="37" t="n">
        <v>0.25</v>
      </c>
    </row>
    <row r="58">
      <c r="A58" s="35" t="s">
        <v>48</v>
      </c>
      <c r="B58" s="34" t="s">
        <v>48</v>
      </c>
      <c r="C58" s="35" t="s">
        <v>48</v>
      </c>
      <c r="D58" s="35" t="s">
        <v>50</v>
      </c>
      <c r="E58" s="34" t="s">
        <v>107</v>
      </c>
      <c r="F58" s="35" t="s">
        <v>48</v>
      </c>
      <c r="G58" s="34" t="s">
        <v>108</v>
      </c>
      <c r="H58" s="34" t="s">
        <v>48</v>
      </c>
      <c r="I58" s="35" t="n">
        <v>4.0</v>
      </c>
      <c r="J58" s="35"/>
      <c r="K58" s="37" t="n">
        <v>0.25</v>
      </c>
    </row>
    <row r="59">
      <c r="A59" s="35" t="s">
        <v>48</v>
      </c>
      <c r="B59" s="34" t="s">
        <v>48</v>
      </c>
      <c r="C59" s="35" t="s">
        <v>48</v>
      </c>
      <c r="D59" s="35" t="s">
        <v>50</v>
      </c>
      <c r="E59" s="34" t="s">
        <v>109</v>
      </c>
      <c r="F59" s="35" t="s">
        <v>48</v>
      </c>
      <c r="G59" s="34" t="s">
        <v>110</v>
      </c>
      <c r="H59" s="34" t="s">
        <v>48</v>
      </c>
      <c r="I59" s="35" t="n">
        <v>4.0</v>
      </c>
      <c r="J59" s="35"/>
      <c r="K59" s="37" t="n">
        <v>0.5</v>
      </c>
    </row>
    <row r="60">
      <c r="A60" s="35" t="s">
        <v>48</v>
      </c>
      <c r="B60" s="34" t="s">
        <v>48</v>
      </c>
      <c r="C60" s="35" t="s">
        <v>48</v>
      </c>
      <c r="D60" s="35" t="s">
        <v>50</v>
      </c>
      <c r="E60" s="34" t="s">
        <v>111</v>
      </c>
      <c r="F60" s="35" t="s">
        <v>48</v>
      </c>
      <c r="G60" s="34" t="s">
        <v>112</v>
      </c>
      <c r="H60" s="34" t="s">
        <v>48</v>
      </c>
      <c r="I60" s="35" t="n">
        <v>4.0</v>
      </c>
      <c r="J60" s="35"/>
      <c r="K60" s="37" t="n">
        <v>0.25</v>
      </c>
    </row>
    <row r="61">
      <c r="A61" s="35" t="s">
        <v>48</v>
      </c>
      <c r="B61" s="34" t="s">
        <v>48</v>
      </c>
      <c r="C61" s="35" t="s">
        <v>48</v>
      </c>
      <c r="D61" s="35" t="s">
        <v>50</v>
      </c>
      <c r="E61" s="34" t="s">
        <v>113</v>
      </c>
      <c r="F61" s="35" t="s">
        <v>48</v>
      </c>
      <c r="G61" s="34" t="s">
        <v>114</v>
      </c>
      <c r="H61" s="34" t="s">
        <v>48</v>
      </c>
      <c r="I61" s="35" t="n">
        <v>4.0</v>
      </c>
      <c r="J61" s="35"/>
      <c r="K61" s="37" t="n">
        <v>0.25</v>
      </c>
    </row>
    <row r="62">
      <c r="A62" s="35" t="s">
        <v>48</v>
      </c>
      <c r="B62" s="34" t="s">
        <v>48</v>
      </c>
      <c r="C62" s="35" t="s">
        <v>48</v>
      </c>
      <c r="D62" s="35" t="s">
        <v>50</v>
      </c>
      <c r="E62" s="34" t="s">
        <v>115</v>
      </c>
      <c r="F62" s="35" t="s">
        <v>48</v>
      </c>
      <c r="G62" s="34" t="s">
        <v>116</v>
      </c>
      <c r="H62" s="34" t="s">
        <v>48</v>
      </c>
      <c r="I62" s="35" t="n">
        <v>4.0</v>
      </c>
      <c r="J62" s="35"/>
      <c r="K62" s="37" t="n">
        <v>0.25</v>
      </c>
    </row>
    <row r="63">
      <c r="A63" s="35" t="s">
        <v>117</v>
      </c>
      <c r="B63" s="34" t="s">
        <v>118</v>
      </c>
      <c r="C63" s="35" t="s">
        <v>49</v>
      </c>
      <c r="D63" s="34" t="s">
        <v>48</v>
      </c>
      <c r="E63" s="34" t="s">
        <v>48</v>
      </c>
      <c r="F63" s="34" t="s">
        <v>48</v>
      </c>
      <c r="G63" s="34" t="s">
        <v>48</v>
      </c>
      <c r="H63" s="34" t="s">
        <v>48</v>
      </c>
      <c r="I63" s="34" t="s">
        <v>48</v>
      </c>
      <c r="J63" s="34" t="s">
        <v>48</v>
      </c>
      <c r="K63" s="34" t="s">
        <v>48</v>
      </c>
    </row>
    <row r="64">
      <c r="A64" s="35" t="s">
        <v>48</v>
      </c>
      <c r="B64" s="34" t="s">
        <v>48</v>
      </c>
      <c r="C64" s="35" t="s">
        <v>48</v>
      </c>
      <c r="D64" s="35" t="s">
        <v>50</v>
      </c>
      <c r="E64" s="34" t="s">
        <v>119</v>
      </c>
      <c r="F64" s="35" t="s">
        <v>48</v>
      </c>
      <c r="G64" s="34" t="s">
        <v>120</v>
      </c>
      <c r="H64" s="34" t="s">
        <v>48</v>
      </c>
      <c r="I64" s="35" t="n">
        <v>4.0</v>
      </c>
      <c r="J64" s="35"/>
      <c r="K64" s="37" t="n">
        <v>0.5</v>
      </c>
    </row>
    <row r="65">
      <c r="A65" s="35" t="s">
        <v>48</v>
      </c>
      <c r="B65" s="34" t="s">
        <v>48</v>
      </c>
      <c r="C65" s="35" t="s">
        <v>48</v>
      </c>
      <c r="D65" s="35" t="s">
        <v>50</v>
      </c>
      <c r="E65" s="34" t="s">
        <v>121</v>
      </c>
      <c r="F65" s="35" t="s">
        <v>48</v>
      </c>
      <c r="G65" s="34" t="s">
        <v>122</v>
      </c>
      <c r="H65" s="34" t="s">
        <v>48</v>
      </c>
      <c r="I65" s="35" t="n">
        <v>4.0</v>
      </c>
      <c r="J65" s="35"/>
      <c r="K65" s="37" t="n">
        <v>0.25</v>
      </c>
    </row>
    <row r="66">
      <c r="A66" s="35" t="s">
        <v>123</v>
      </c>
      <c r="B66" s="34" t="s">
        <v>124</v>
      </c>
      <c r="C66" s="35" t="s">
        <v>49</v>
      </c>
      <c r="D66" s="34" t="s">
        <v>48</v>
      </c>
      <c r="E66" s="34" t="s">
        <v>48</v>
      </c>
      <c r="F66" s="34" t="s">
        <v>48</v>
      </c>
      <c r="G66" s="34" t="s">
        <v>48</v>
      </c>
      <c r="H66" s="34" t="s">
        <v>48</v>
      </c>
      <c r="I66" s="34" t="s">
        <v>48</v>
      </c>
      <c r="J66" s="34" t="s">
        <v>48</v>
      </c>
      <c r="K66" s="34" t="s">
        <v>48</v>
      </c>
    </row>
    <row r="67">
      <c r="A67" s="35" t="s">
        <v>48</v>
      </c>
      <c r="B67" s="34" t="s">
        <v>48</v>
      </c>
      <c r="C67" s="35" t="s">
        <v>48</v>
      </c>
      <c r="D67" s="35" t="s">
        <v>50</v>
      </c>
      <c r="E67" s="34" t="s">
        <v>125</v>
      </c>
      <c r="F67" s="35" t="s">
        <v>48</v>
      </c>
      <c r="G67" s="34" t="s">
        <v>126</v>
      </c>
      <c r="H67" s="34" t="s">
        <v>48</v>
      </c>
      <c r="I67" s="35" t="n">
        <v>5.0</v>
      </c>
      <c r="J67" s="35"/>
      <c r="K67" s="37" t="n">
        <v>0.25</v>
      </c>
    </row>
    <row r="68">
      <c r="A68" s="35" t="s">
        <v>48</v>
      </c>
      <c r="B68" s="34" t="s">
        <v>48</v>
      </c>
      <c r="C68" s="35" t="s">
        <v>48</v>
      </c>
      <c r="D68" s="35" t="s">
        <v>50</v>
      </c>
      <c r="E68" s="34" t="s">
        <v>127</v>
      </c>
      <c r="F68" s="35" t="s">
        <v>48</v>
      </c>
      <c r="G68" s="34" t="s">
        <v>128</v>
      </c>
      <c r="H68" s="34" t="s">
        <v>48</v>
      </c>
      <c r="I68" s="35" t="n">
        <v>5.0</v>
      </c>
      <c r="J68" s="35"/>
      <c r="K68" s="37" t="n">
        <v>0.25</v>
      </c>
    </row>
    <row r="69">
      <c r="A69" s="35" t="s">
        <v>48</v>
      </c>
      <c r="B69" s="34" t="s">
        <v>48</v>
      </c>
      <c r="C69" s="35" t="s">
        <v>48</v>
      </c>
      <c r="D69" s="35" t="s">
        <v>50</v>
      </c>
      <c r="E69" s="34" t="s">
        <v>129</v>
      </c>
      <c r="F69" s="35" t="s">
        <v>48</v>
      </c>
      <c r="G69" s="34" t="s">
        <v>130</v>
      </c>
      <c r="H69" s="34" t="s">
        <v>48</v>
      </c>
      <c r="I69" s="35" t="n">
        <v>5.0</v>
      </c>
      <c r="J69" s="35"/>
      <c r="K69" s="37" t="n">
        <v>0.25</v>
      </c>
    </row>
    <row r="70">
      <c r="A70" s="35" t="s">
        <v>131</v>
      </c>
      <c r="B70" s="34" t="s">
        <v>132</v>
      </c>
      <c r="C70" s="35" t="s">
        <v>49</v>
      </c>
      <c r="D70" s="34" t="s">
        <v>48</v>
      </c>
      <c r="E70" s="34" t="s">
        <v>48</v>
      </c>
      <c r="F70" s="34" t="s">
        <v>48</v>
      </c>
      <c r="G70" s="34" t="s">
        <v>48</v>
      </c>
      <c r="H70" s="34" t="s">
        <v>48</v>
      </c>
      <c r="I70" s="34" t="s">
        <v>48</v>
      </c>
      <c r="J70" s="34" t="s">
        <v>48</v>
      </c>
      <c r="K70" s="34" t="s">
        <v>48</v>
      </c>
    </row>
    <row r="71">
      <c r="A71" s="35" t="s">
        <v>48</v>
      </c>
      <c r="B71" s="34" t="s">
        <v>48</v>
      </c>
      <c r="C71" s="35" t="s">
        <v>48</v>
      </c>
      <c r="D71" s="35" t="s">
        <v>50</v>
      </c>
      <c r="E71" s="34" t="s">
        <v>133</v>
      </c>
      <c r="F71" s="35" t="s">
        <v>48</v>
      </c>
      <c r="G71" s="34" t="s">
        <v>134</v>
      </c>
      <c r="H71" s="34" t="s">
        <v>48</v>
      </c>
      <c r="I71" s="35" t="n">
        <v>5.0</v>
      </c>
      <c r="J71" s="35"/>
      <c r="K71" s="37" t="n">
        <v>0.25</v>
      </c>
    </row>
    <row r="72">
      <c r="A72" s="35" t="s">
        <v>48</v>
      </c>
      <c r="B72" s="34" t="s">
        <v>48</v>
      </c>
      <c r="C72" s="35" t="s">
        <v>48</v>
      </c>
      <c r="D72" s="35" t="s">
        <v>50</v>
      </c>
      <c r="E72" s="34" t="s">
        <v>135</v>
      </c>
      <c r="F72" s="35" t="s">
        <v>48</v>
      </c>
      <c r="G72" s="34" t="s">
        <v>136</v>
      </c>
      <c r="H72" s="34" t="s">
        <v>48</v>
      </c>
      <c r="I72" s="35" t="n">
        <v>5.0</v>
      </c>
      <c r="J72" s="35"/>
      <c r="K72" s="37" t="n">
        <v>0.25</v>
      </c>
    </row>
    <row r="73">
      <c r="A73" s="35" t="s">
        <v>48</v>
      </c>
      <c r="B73" s="34" t="s">
        <v>48</v>
      </c>
      <c r="C73" s="35" t="s">
        <v>48</v>
      </c>
      <c r="D73" s="35" t="s">
        <v>50</v>
      </c>
      <c r="E73" s="34" t="s">
        <v>137</v>
      </c>
      <c r="F73" s="35" t="s">
        <v>48</v>
      </c>
      <c r="G73" s="34" t="s">
        <v>138</v>
      </c>
      <c r="H73" s="34" t="s">
        <v>48</v>
      </c>
      <c r="I73" s="35" t="n">
        <v>5.0</v>
      </c>
      <c r="J73" s="35"/>
      <c r="K73" s="37" t="n">
        <v>0.25</v>
      </c>
    </row>
    <row r="74">
      <c r="A74" s="35" t="s">
        <v>48</v>
      </c>
      <c r="B74" s="34" t="s">
        <v>48</v>
      </c>
      <c r="C74" s="35" t="s">
        <v>48</v>
      </c>
      <c r="D74" s="35" t="s">
        <v>50</v>
      </c>
      <c r="E74" s="34" t="s">
        <v>139</v>
      </c>
      <c r="F74" s="35" t="s">
        <v>48</v>
      </c>
      <c r="G74" s="34" t="s">
        <v>140</v>
      </c>
      <c r="H74" s="34" t="s">
        <v>48</v>
      </c>
      <c r="I74" s="35" t="n">
        <v>5.0</v>
      </c>
      <c r="J74" s="35"/>
      <c r="K74" s="37" t="n">
        <v>0.25</v>
      </c>
    </row>
    <row r="75">
      <c r="A75" s="35" t="s">
        <v>48</v>
      </c>
      <c r="B75" s="34" t="s">
        <v>48</v>
      </c>
      <c r="C75" s="35" t="s">
        <v>48</v>
      </c>
      <c r="D75" s="35" t="s">
        <v>50</v>
      </c>
      <c r="E75" s="34" t="s">
        <v>141</v>
      </c>
      <c r="F75" s="35" t="s">
        <v>48</v>
      </c>
      <c r="G75" s="34" t="s">
        <v>142</v>
      </c>
      <c r="H75" s="34" t="s">
        <v>48</v>
      </c>
      <c r="I75" s="35" t="n">
        <v>5.0</v>
      </c>
      <c r="J75" s="35"/>
      <c r="K75" s="37" t="n">
        <v>0.25</v>
      </c>
    </row>
    <row r="76">
      <c r="A76" s="35" t="s">
        <v>48</v>
      </c>
      <c r="B76" s="34" t="s">
        <v>48</v>
      </c>
      <c r="C76" s="35" t="s">
        <v>48</v>
      </c>
      <c r="D76" s="35" t="s">
        <v>50</v>
      </c>
      <c r="E76" s="34" t="s">
        <v>143</v>
      </c>
      <c r="F76" s="35" t="s">
        <v>48</v>
      </c>
      <c r="G76" s="34" t="s">
        <v>144</v>
      </c>
      <c r="H76" s="34" t="s">
        <v>48</v>
      </c>
      <c r="I76" s="35" t="n">
        <v>5.0</v>
      </c>
      <c r="J76" s="35"/>
      <c r="K76" s="37" t="n">
        <v>0.25</v>
      </c>
    </row>
    <row r="77">
      <c r="A77" s="35" t="s">
        <v>48</v>
      </c>
      <c r="B77" s="34" t="s">
        <v>48</v>
      </c>
      <c r="C77" s="35" t="s">
        <v>48</v>
      </c>
      <c r="D77" s="35" t="s">
        <v>48</v>
      </c>
      <c r="E77" s="34" t="s">
        <v>48</v>
      </c>
      <c r="F77" s="35" t="s">
        <v>48</v>
      </c>
      <c r="G77" s="34" t="s">
        <v>48</v>
      </c>
      <c r="H77" s="34" t="s">
        <v>48</v>
      </c>
      <c r="I77" s="35"/>
      <c r="J77" s="35"/>
      <c r="K77" s="37"/>
    </row>
    <row r="78">
      <c r="A78" s="35" t="s">
        <v>48</v>
      </c>
      <c r="B78" s="34" t="s">
        <v>48</v>
      </c>
      <c r="C78" s="35" t="s">
        <v>48</v>
      </c>
      <c r="D78" s="35" t="s">
        <v>48</v>
      </c>
      <c r="E78" s="34" t="s">
        <v>48</v>
      </c>
      <c r="F78" s="35" t="s">
        <v>48</v>
      </c>
      <c r="G78" s="34" t="s">
        <v>48</v>
      </c>
      <c r="H78" s="34" t="s">
        <v>48</v>
      </c>
      <c r="I78" s="35"/>
      <c r="J78" s="35"/>
      <c r="K78" s="37"/>
    </row>
    <row r="79">
      <c r="A79" s="44" t="s">
        <v>15</v>
      </c>
      <c r="B79" s="45" t="s">
        <v>16</v>
      </c>
      <c r="C79" s="46" t="s">
        <v>10</v>
      </c>
      <c r="D79" s="47" t="s">
        <v>6</v>
      </c>
      <c r="E79" s="48" t="s">
        <v>1</v>
      </c>
      <c r="F79" s="49" t="s">
        <v>2</v>
      </c>
      <c r="G79" s="50" t="s">
        <v>8</v>
      </c>
      <c r="H79" s="51" t="s">
        <v>9</v>
      </c>
      <c r="I79" s="52" t="s">
        <v>23</v>
      </c>
      <c r="J79" s="53" t="s">
        <v>11</v>
      </c>
      <c r="K79" s="54" t="s">
        <v>3</v>
      </c>
      <c r="L79" s="55" t="s">
        <v>145</v>
      </c>
      <c r="M79" s="56" t="s">
        <v>4</v>
      </c>
      <c r="N79" s="57">
        <f>SUM(K80:K140)</f>
      </c>
    </row>
    <row r="80">
      <c r="A80" s="35" t="s">
        <v>146</v>
      </c>
      <c r="B80" s="34" t="s">
        <v>147</v>
      </c>
      <c r="C80" s="35" t="s">
        <v>49</v>
      </c>
      <c r="D80" s="34" t="s">
        <v>48</v>
      </c>
      <c r="E80" s="34" t="s">
        <v>48</v>
      </c>
      <c r="F80" s="34" t="s">
        <v>48</v>
      </c>
      <c r="G80" s="34" t="s">
        <v>48</v>
      </c>
      <c r="H80" s="34" t="s">
        <v>48</v>
      </c>
      <c r="I80" s="34" t="s">
        <v>48</v>
      </c>
      <c r="J80" s="34" t="s">
        <v>48</v>
      </c>
      <c r="K80" s="34" t="s">
        <v>48</v>
      </c>
    </row>
    <row r="81">
      <c r="A81" s="35" t="s">
        <v>48</v>
      </c>
      <c r="B81" s="34" t="s">
        <v>48</v>
      </c>
      <c r="C81" s="35" t="s">
        <v>48</v>
      </c>
      <c r="D81" s="35" t="s">
        <v>50</v>
      </c>
      <c r="E81" s="34" t="s">
        <v>148</v>
      </c>
      <c r="F81" s="35" t="s">
        <v>48</v>
      </c>
      <c r="G81" s="34" t="s">
        <v>149</v>
      </c>
      <c r="H81" s="34" t="s">
        <v>48</v>
      </c>
      <c r="I81" s="35" t="n">
        <v>1.0</v>
      </c>
      <c r="J81" s="35"/>
      <c r="K81" s="37" t="n">
        <v>0.5</v>
      </c>
    </row>
    <row r="82">
      <c r="A82" s="35" t="s">
        <v>48</v>
      </c>
      <c r="B82" s="34" t="s">
        <v>48</v>
      </c>
      <c r="C82" s="35" t="s">
        <v>48</v>
      </c>
      <c r="D82" s="35" t="s">
        <v>61</v>
      </c>
      <c r="E82" s="34" t="s">
        <v>150</v>
      </c>
      <c r="F82" s="35" t="s">
        <v>48</v>
      </c>
      <c r="G82" s="34" t="s">
        <v>48</v>
      </c>
      <c r="H82" s="34" t="s">
        <v>48</v>
      </c>
      <c r="I82" s="35" t="n">
        <v>1.0</v>
      </c>
      <c r="J82" s="35"/>
      <c r="K82" s="37" t="n">
        <v>1.0</v>
      </c>
    </row>
    <row r="83">
      <c r="A83" s="35" t="s">
        <v>48</v>
      </c>
      <c r="B83" s="34" t="s">
        <v>48</v>
      </c>
      <c r="C83" s="35" t="s">
        <v>48</v>
      </c>
      <c r="D83" s="35" t="s">
        <v>48</v>
      </c>
      <c r="E83" s="34" t="s">
        <v>48</v>
      </c>
      <c r="F83" s="35" t="n">
        <v>0.0</v>
      </c>
      <c r="G83" s="34" t="s">
        <v>151</v>
      </c>
      <c r="H83" s="34" t="s">
        <v>48</v>
      </c>
      <c r="I83" s="35"/>
      <c r="J83" s="35"/>
      <c r="K83" s="37"/>
    </row>
    <row r="84">
      <c r="A84" s="35" t="s">
        <v>48</v>
      </c>
      <c r="B84" s="34" t="s">
        <v>48</v>
      </c>
      <c r="C84" s="35" t="s">
        <v>48</v>
      </c>
      <c r="D84" s="35" t="s">
        <v>48</v>
      </c>
      <c r="E84" s="34" t="s">
        <v>48</v>
      </c>
      <c r="F84" s="35" t="n">
        <v>1.0</v>
      </c>
      <c r="G84" s="34" t="s">
        <v>152</v>
      </c>
      <c r="H84" s="34" t="s">
        <v>48</v>
      </c>
      <c r="I84" s="35"/>
      <c r="J84" s="35"/>
      <c r="K84" s="37"/>
    </row>
    <row r="85">
      <c r="A85" s="35" t="s">
        <v>48</v>
      </c>
      <c r="B85" s="34" t="s">
        <v>48</v>
      </c>
      <c r="C85" s="35" t="s">
        <v>48</v>
      </c>
      <c r="D85" s="35" t="s">
        <v>48</v>
      </c>
      <c r="E85" s="34" t="s">
        <v>48</v>
      </c>
      <c r="F85" s="35" t="n">
        <v>2.0</v>
      </c>
      <c r="G85" s="34" t="s">
        <v>153</v>
      </c>
      <c r="H85" s="34" t="s">
        <v>48</v>
      </c>
      <c r="I85" s="35"/>
      <c r="J85" s="35"/>
      <c r="K85" s="37"/>
    </row>
    <row r="86">
      <c r="A86" s="35" t="s">
        <v>48</v>
      </c>
      <c r="B86" s="34" t="s">
        <v>48</v>
      </c>
      <c r="C86" s="35" t="s">
        <v>48</v>
      </c>
      <c r="D86" s="35" t="s">
        <v>48</v>
      </c>
      <c r="E86" s="34" t="s">
        <v>48</v>
      </c>
      <c r="F86" s="35" t="n">
        <v>3.0</v>
      </c>
      <c r="G86" s="34" t="s">
        <v>154</v>
      </c>
      <c r="H86" s="34" t="s">
        <v>48</v>
      </c>
      <c r="I86" s="35"/>
      <c r="J86" s="35"/>
      <c r="K86" s="37"/>
    </row>
    <row r="87">
      <c r="A87" s="35" t="s">
        <v>155</v>
      </c>
      <c r="B87" s="34" t="s">
        <v>156</v>
      </c>
      <c r="C87" s="35" t="s">
        <v>49</v>
      </c>
      <c r="D87" s="34" t="s">
        <v>48</v>
      </c>
      <c r="E87" s="34" t="s">
        <v>48</v>
      </c>
      <c r="F87" s="34" t="s">
        <v>48</v>
      </c>
      <c r="G87" s="34" t="s">
        <v>48</v>
      </c>
      <c r="H87" s="34" t="s">
        <v>48</v>
      </c>
      <c r="I87" s="34" t="s">
        <v>48</v>
      </c>
      <c r="J87" s="34" t="s">
        <v>48</v>
      </c>
      <c r="K87" s="34" t="s">
        <v>48</v>
      </c>
    </row>
    <row r="88">
      <c r="A88" s="35" t="s">
        <v>48</v>
      </c>
      <c r="B88" s="34" t="s">
        <v>48</v>
      </c>
      <c r="C88" s="35" t="s">
        <v>48</v>
      </c>
      <c r="D88" s="35" t="s">
        <v>50</v>
      </c>
      <c r="E88" s="34" t="s">
        <v>157</v>
      </c>
      <c r="F88" s="35" t="s">
        <v>48</v>
      </c>
      <c r="G88" s="34" t="s">
        <v>158</v>
      </c>
      <c r="H88" s="34" t="s">
        <v>48</v>
      </c>
      <c r="I88" s="35" t="n">
        <v>5.0</v>
      </c>
      <c r="J88" s="35"/>
      <c r="K88" s="37" t="n">
        <v>0.5</v>
      </c>
    </row>
    <row r="89">
      <c r="A89" s="35" t="s">
        <v>48</v>
      </c>
      <c r="B89" s="34" t="s">
        <v>48</v>
      </c>
      <c r="C89" s="35" t="s">
        <v>48</v>
      </c>
      <c r="D89" s="35" t="s">
        <v>50</v>
      </c>
      <c r="E89" s="34" t="s">
        <v>159</v>
      </c>
      <c r="F89" s="35" t="s">
        <v>48</v>
      </c>
      <c r="G89" s="34" t="s">
        <v>160</v>
      </c>
      <c r="H89" s="34" t="s">
        <v>48</v>
      </c>
      <c r="I89" s="35" t="n">
        <v>2.0</v>
      </c>
      <c r="J89" s="35"/>
      <c r="K89" s="37" t="n">
        <v>0.5</v>
      </c>
    </row>
    <row r="90">
      <c r="A90" s="35" t="s">
        <v>48</v>
      </c>
      <c r="B90" s="34" t="s">
        <v>48</v>
      </c>
      <c r="C90" s="35" t="s">
        <v>48</v>
      </c>
      <c r="D90" s="35" t="s">
        <v>50</v>
      </c>
      <c r="E90" s="34" t="s">
        <v>161</v>
      </c>
      <c r="F90" s="35" t="s">
        <v>48</v>
      </c>
      <c r="G90" s="34" t="s">
        <v>162</v>
      </c>
      <c r="H90" s="34" t="s">
        <v>48</v>
      </c>
      <c r="I90" s="35" t="n">
        <v>5.0</v>
      </c>
      <c r="J90" s="35"/>
      <c r="K90" s="37" t="n">
        <v>0.5</v>
      </c>
    </row>
    <row r="91">
      <c r="A91" s="35" t="s">
        <v>48</v>
      </c>
      <c r="B91" s="34" t="s">
        <v>48</v>
      </c>
      <c r="C91" s="35" t="s">
        <v>48</v>
      </c>
      <c r="D91" s="35" t="s">
        <v>50</v>
      </c>
      <c r="E91" s="34" t="s">
        <v>163</v>
      </c>
      <c r="F91" s="35" t="s">
        <v>48</v>
      </c>
      <c r="G91" s="34" t="s">
        <v>164</v>
      </c>
      <c r="H91" s="34" t="s">
        <v>48</v>
      </c>
      <c r="I91" s="35" t="n">
        <v>2.0</v>
      </c>
      <c r="J91" s="35"/>
      <c r="K91" s="37" t="n">
        <v>0.25</v>
      </c>
    </row>
    <row r="92">
      <c r="A92" s="35" t="s">
        <v>48</v>
      </c>
      <c r="B92" s="34" t="s">
        <v>48</v>
      </c>
      <c r="C92" s="35" t="s">
        <v>48</v>
      </c>
      <c r="D92" s="35" t="s">
        <v>50</v>
      </c>
      <c r="E92" s="34" t="s">
        <v>165</v>
      </c>
      <c r="F92" s="35" t="s">
        <v>48</v>
      </c>
      <c r="G92" s="34" t="s">
        <v>166</v>
      </c>
      <c r="H92" s="34" t="s">
        <v>48</v>
      </c>
      <c r="I92" s="35" t="n">
        <v>5.0</v>
      </c>
      <c r="J92" s="35"/>
      <c r="K92" s="37" t="n">
        <v>0.25</v>
      </c>
    </row>
    <row r="93">
      <c r="A93" s="35" t="s">
        <v>167</v>
      </c>
      <c r="B93" s="34" t="s">
        <v>168</v>
      </c>
      <c r="C93" s="35" t="s">
        <v>49</v>
      </c>
      <c r="D93" s="34" t="s">
        <v>48</v>
      </c>
      <c r="E93" s="34" t="s">
        <v>48</v>
      </c>
      <c r="F93" s="34" t="s">
        <v>48</v>
      </c>
      <c r="G93" s="34" t="s">
        <v>48</v>
      </c>
      <c r="H93" s="34" t="s">
        <v>48</v>
      </c>
      <c r="I93" s="34" t="s">
        <v>48</v>
      </c>
      <c r="J93" s="34" t="s">
        <v>48</v>
      </c>
      <c r="K93" s="34" t="s">
        <v>48</v>
      </c>
    </row>
    <row r="94">
      <c r="A94" s="35" t="s">
        <v>48</v>
      </c>
      <c r="B94" s="34" t="s">
        <v>48</v>
      </c>
      <c r="C94" s="35" t="s">
        <v>48</v>
      </c>
      <c r="D94" s="35" t="s">
        <v>50</v>
      </c>
      <c r="E94" s="34" t="s">
        <v>169</v>
      </c>
      <c r="F94" s="35" t="s">
        <v>48</v>
      </c>
      <c r="G94" s="34" t="s">
        <v>170</v>
      </c>
      <c r="H94" s="34" t="s">
        <v>48</v>
      </c>
      <c r="I94" s="35" t="n">
        <v>4.0</v>
      </c>
      <c r="J94" s="35"/>
      <c r="K94" s="37" t="n">
        <v>0.25</v>
      </c>
    </row>
    <row r="95">
      <c r="A95" s="35" t="s">
        <v>48</v>
      </c>
      <c r="B95" s="34" t="s">
        <v>48</v>
      </c>
      <c r="C95" s="35" t="s">
        <v>48</v>
      </c>
      <c r="D95" s="35" t="s">
        <v>50</v>
      </c>
      <c r="E95" s="34" t="s">
        <v>171</v>
      </c>
      <c r="F95" s="35" t="s">
        <v>48</v>
      </c>
      <c r="G95" s="34" t="s">
        <v>172</v>
      </c>
      <c r="H95" s="34" t="s">
        <v>48</v>
      </c>
      <c r="I95" s="35" t="n">
        <v>4.0</v>
      </c>
      <c r="J95" s="35"/>
      <c r="K95" s="37" t="n">
        <v>0.25</v>
      </c>
    </row>
    <row r="96">
      <c r="A96" s="35" t="s">
        <v>48</v>
      </c>
      <c r="B96" s="34" t="s">
        <v>48</v>
      </c>
      <c r="C96" s="35" t="s">
        <v>48</v>
      </c>
      <c r="D96" s="35" t="s">
        <v>50</v>
      </c>
      <c r="E96" s="34" t="s">
        <v>173</v>
      </c>
      <c r="F96" s="35" t="s">
        <v>48</v>
      </c>
      <c r="G96" s="34" t="s">
        <v>174</v>
      </c>
      <c r="H96" s="34" t="s">
        <v>48</v>
      </c>
      <c r="I96" s="35" t="n">
        <v>4.0</v>
      </c>
      <c r="J96" s="35"/>
      <c r="K96" s="37" t="n">
        <v>0.5</v>
      </c>
    </row>
    <row r="97">
      <c r="A97" s="35" t="s">
        <v>48</v>
      </c>
      <c r="B97" s="34" t="s">
        <v>48</v>
      </c>
      <c r="C97" s="35" t="s">
        <v>48</v>
      </c>
      <c r="D97" s="35" t="s">
        <v>50</v>
      </c>
      <c r="E97" s="34" t="s">
        <v>175</v>
      </c>
      <c r="F97" s="35" t="s">
        <v>48</v>
      </c>
      <c r="G97" s="34" t="s">
        <v>176</v>
      </c>
      <c r="H97" s="34" t="s">
        <v>48</v>
      </c>
      <c r="I97" s="35" t="n">
        <v>4.0</v>
      </c>
      <c r="J97" s="35"/>
      <c r="K97" s="37" t="n">
        <v>0.25</v>
      </c>
    </row>
    <row r="98">
      <c r="A98" s="35" t="s">
        <v>48</v>
      </c>
      <c r="B98" s="34" t="s">
        <v>48</v>
      </c>
      <c r="C98" s="35" t="s">
        <v>48</v>
      </c>
      <c r="D98" s="35" t="s">
        <v>50</v>
      </c>
      <c r="E98" s="34" t="s">
        <v>177</v>
      </c>
      <c r="F98" s="35" t="s">
        <v>48</v>
      </c>
      <c r="G98" s="34" t="s">
        <v>178</v>
      </c>
      <c r="H98" s="34" t="s">
        <v>48</v>
      </c>
      <c r="I98" s="35" t="n">
        <v>5.0</v>
      </c>
      <c r="J98" s="35"/>
      <c r="K98" s="37" t="n">
        <v>0.25</v>
      </c>
    </row>
    <row r="99">
      <c r="A99" s="35" t="s">
        <v>48</v>
      </c>
      <c r="B99" s="34" t="s">
        <v>48</v>
      </c>
      <c r="C99" s="35" t="s">
        <v>48</v>
      </c>
      <c r="D99" s="35" t="s">
        <v>50</v>
      </c>
      <c r="E99" s="34" t="s">
        <v>179</v>
      </c>
      <c r="F99" s="35" t="s">
        <v>48</v>
      </c>
      <c r="G99" s="34" t="s">
        <v>180</v>
      </c>
      <c r="H99" s="34" t="s">
        <v>48</v>
      </c>
      <c r="I99" s="35" t="n">
        <v>5.0</v>
      </c>
      <c r="J99" s="35"/>
      <c r="K99" s="37" t="n">
        <v>0.5</v>
      </c>
    </row>
    <row r="100">
      <c r="A100" s="35" t="s">
        <v>48</v>
      </c>
      <c r="B100" s="34" t="s">
        <v>48</v>
      </c>
      <c r="C100" s="35" t="s">
        <v>48</v>
      </c>
      <c r="D100" s="35" t="s">
        <v>50</v>
      </c>
      <c r="E100" s="34" t="s">
        <v>181</v>
      </c>
      <c r="F100" s="35" t="s">
        <v>48</v>
      </c>
      <c r="G100" s="34" t="s">
        <v>182</v>
      </c>
      <c r="H100" s="34" t="s">
        <v>48</v>
      </c>
      <c r="I100" s="35" t="n">
        <v>5.0</v>
      </c>
      <c r="J100" s="35"/>
      <c r="K100" s="37" t="n">
        <v>0.5</v>
      </c>
    </row>
    <row r="101">
      <c r="A101" s="35" t="s">
        <v>183</v>
      </c>
      <c r="B101" s="34" t="s">
        <v>184</v>
      </c>
      <c r="C101" s="35" t="s">
        <v>49</v>
      </c>
      <c r="D101" s="34" t="s">
        <v>48</v>
      </c>
      <c r="E101" s="34" t="s">
        <v>48</v>
      </c>
      <c r="F101" s="34" t="s">
        <v>48</v>
      </c>
      <c r="G101" s="34" t="s">
        <v>48</v>
      </c>
      <c r="H101" s="34" t="s">
        <v>48</v>
      </c>
      <c r="I101" s="34" t="s">
        <v>48</v>
      </c>
      <c r="J101" s="34" t="s">
        <v>48</v>
      </c>
      <c r="K101" s="34" t="s">
        <v>48</v>
      </c>
    </row>
    <row r="102">
      <c r="A102" s="35" t="s">
        <v>48</v>
      </c>
      <c r="B102" s="34" t="s">
        <v>48</v>
      </c>
      <c r="C102" s="35" t="s">
        <v>48</v>
      </c>
      <c r="D102" s="35" t="s">
        <v>50</v>
      </c>
      <c r="E102" s="34" t="s">
        <v>185</v>
      </c>
      <c r="F102" s="35" t="s">
        <v>48</v>
      </c>
      <c r="G102" s="34" t="s">
        <v>186</v>
      </c>
      <c r="H102" s="34" t="s">
        <v>48</v>
      </c>
      <c r="I102" s="35" t="n">
        <v>5.0</v>
      </c>
      <c r="J102" s="35"/>
      <c r="K102" s="37" t="n">
        <v>0.5</v>
      </c>
    </row>
    <row r="103">
      <c r="A103" s="35" t="s">
        <v>48</v>
      </c>
      <c r="B103" s="34" t="s">
        <v>48</v>
      </c>
      <c r="C103" s="35" t="s">
        <v>48</v>
      </c>
      <c r="D103" s="35" t="s">
        <v>50</v>
      </c>
      <c r="E103" s="34" t="s">
        <v>187</v>
      </c>
      <c r="F103" s="35" t="s">
        <v>48</v>
      </c>
      <c r="G103" s="34" t="s">
        <v>188</v>
      </c>
      <c r="H103" s="34" t="s">
        <v>48</v>
      </c>
      <c r="I103" s="35" t="n">
        <v>5.0</v>
      </c>
      <c r="J103" s="35"/>
      <c r="K103" s="37" t="n">
        <v>0.3</v>
      </c>
    </row>
    <row r="104">
      <c r="A104" s="35" t="s">
        <v>48</v>
      </c>
      <c r="B104" s="34" t="s">
        <v>48</v>
      </c>
      <c r="C104" s="35" t="s">
        <v>48</v>
      </c>
      <c r="D104" s="35" t="s">
        <v>50</v>
      </c>
      <c r="E104" s="34" t="s">
        <v>189</v>
      </c>
      <c r="F104" s="35" t="s">
        <v>48</v>
      </c>
      <c r="G104" s="34" t="s">
        <v>190</v>
      </c>
      <c r="H104" s="34" t="s">
        <v>48</v>
      </c>
      <c r="I104" s="35" t="n">
        <v>5.0</v>
      </c>
      <c r="J104" s="35"/>
      <c r="K104" s="37" t="n">
        <v>0.2</v>
      </c>
    </row>
    <row r="105">
      <c r="A105" s="35" t="s">
        <v>191</v>
      </c>
      <c r="B105" s="34" t="s">
        <v>192</v>
      </c>
      <c r="C105" s="35" t="s">
        <v>49</v>
      </c>
      <c r="D105" s="34" t="s">
        <v>48</v>
      </c>
      <c r="E105" s="34" t="s">
        <v>48</v>
      </c>
      <c r="F105" s="34" t="s">
        <v>48</v>
      </c>
      <c r="G105" s="34" t="s">
        <v>48</v>
      </c>
      <c r="H105" s="34" t="s">
        <v>48</v>
      </c>
      <c r="I105" s="34" t="s">
        <v>48</v>
      </c>
      <c r="J105" s="34" t="s">
        <v>48</v>
      </c>
      <c r="K105" s="34" t="s">
        <v>48</v>
      </c>
    </row>
    <row r="106">
      <c r="A106" s="35" t="s">
        <v>48</v>
      </c>
      <c r="B106" s="34" t="s">
        <v>48</v>
      </c>
      <c r="C106" s="35" t="s">
        <v>48</v>
      </c>
      <c r="D106" s="35" t="s">
        <v>50</v>
      </c>
      <c r="E106" s="34" t="s">
        <v>193</v>
      </c>
      <c r="F106" s="35" t="s">
        <v>48</v>
      </c>
      <c r="G106" s="34" t="s">
        <v>194</v>
      </c>
      <c r="H106" s="34" t="s">
        <v>48</v>
      </c>
      <c r="I106" s="35" t="n">
        <v>5.0</v>
      </c>
      <c r="J106" s="35"/>
      <c r="K106" s="37" t="n">
        <v>0.5</v>
      </c>
    </row>
    <row r="107">
      <c r="A107" s="35" t="s">
        <v>48</v>
      </c>
      <c r="B107" s="34" t="s">
        <v>48</v>
      </c>
      <c r="C107" s="35" t="s">
        <v>48</v>
      </c>
      <c r="D107" s="35" t="s">
        <v>50</v>
      </c>
      <c r="E107" s="34" t="s">
        <v>195</v>
      </c>
      <c r="F107" s="35" t="s">
        <v>48</v>
      </c>
      <c r="G107" s="34" t="s">
        <v>196</v>
      </c>
      <c r="H107" s="34" t="s">
        <v>48</v>
      </c>
      <c r="I107" s="35" t="n">
        <v>5.0</v>
      </c>
      <c r="J107" s="35"/>
      <c r="K107" s="37" t="n">
        <v>0.25</v>
      </c>
    </row>
    <row r="108">
      <c r="A108" s="35" t="s">
        <v>48</v>
      </c>
      <c r="B108" s="34" t="s">
        <v>48</v>
      </c>
      <c r="C108" s="35" t="s">
        <v>48</v>
      </c>
      <c r="D108" s="35" t="s">
        <v>50</v>
      </c>
      <c r="E108" s="34" t="s">
        <v>197</v>
      </c>
      <c r="F108" s="35" t="s">
        <v>48</v>
      </c>
      <c r="G108" s="34" t="s">
        <v>198</v>
      </c>
      <c r="H108" s="34" t="s">
        <v>48</v>
      </c>
      <c r="I108" s="35" t="n">
        <v>5.0</v>
      </c>
      <c r="J108" s="35"/>
      <c r="K108" s="37" t="n">
        <v>0.5</v>
      </c>
    </row>
    <row r="109">
      <c r="A109" s="35" t="s">
        <v>48</v>
      </c>
      <c r="B109" s="34" t="s">
        <v>48</v>
      </c>
      <c r="C109" s="35" t="s">
        <v>48</v>
      </c>
      <c r="D109" s="35" t="s">
        <v>50</v>
      </c>
      <c r="E109" s="34" t="s">
        <v>199</v>
      </c>
      <c r="F109" s="35" t="s">
        <v>48</v>
      </c>
      <c r="G109" s="34" t="s">
        <v>200</v>
      </c>
      <c r="H109" s="34" t="s">
        <v>48</v>
      </c>
      <c r="I109" s="35" t="n">
        <v>5.0</v>
      </c>
      <c r="J109" s="35"/>
      <c r="K109" s="37" t="n">
        <v>0.2</v>
      </c>
    </row>
    <row r="110">
      <c r="A110" s="35" t="s">
        <v>48</v>
      </c>
      <c r="B110" s="34" t="s">
        <v>48</v>
      </c>
      <c r="C110" s="35" t="s">
        <v>48</v>
      </c>
      <c r="D110" s="35" t="s">
        <v>50</v>
      </c>
      <c r="E110" s="34" t="s">
        <v>201</v>
      </c>
      <c r="F110" s="35" t="s">
        <v>48</v>
      </c>
      <c r="G110" s="34" t="s">
        <v>202</v>
      </c>
      <c r="H110" s="34" t="s">
        <v>48</v>
      </c>
      <c r="I110" s="35" t="n">
        <v>5.0</v>
      </c>
      <c r="J110" s="35"/>
      <c r="K110" s="37" t="n">
        <v>0.15</v>
      </c>
    </row>
    <row r="111">
      <c r="A111" s="35" t="s">
        <v>48</v>
      </c>
      <c r="B111" s="34" t="s">
        <v>48</v>
      </c>
      <c r="C111" s="35" t="s">
        <v>48</v>
      </c>
      <c r="D111" s="35" t="s">
        <v>50</v>
      </c>
      <c r="E111" s="34" t="s">
        <v>203</v>
      </c>
      <c r="F111" s="35" t="s">
        <v>48</v>
      </c>
      <c r="G111" s="34" t="s">
        <v>204</v>
      </c>
      <c r="H111" s="34" t="s">
        <v>48</v>
      </c>
      <c r="I111" s="35" t="n">
        <v>5.0</v>
      </c>
      <c r="J111" s="35"/>
      <c r="K111" s="37" t="n">
        <v>0.2</v>
      </c>
    </row>
    <row r="112">
      <c r="A112" s="35" t="s">
        <v>48</v>
      </c>
      <c r="B112" s="34" t="s">
        <v>48</v>
      </c>
      <c r="C112" s="35" t="s">
        <v>48</v>
      </c>
      <c r="D112" s="35" t="s">
        <v>50</v>
      </c>
      <c r="E112" s="34" t="s">
        <v>205</v>
      </c>
      <c r="F112" s="35" t="s">
        <v>48</v>
      </c>
      <c r="G112" s="34" t="s">
        <v>206</v>
      </c>
      <c r="H112" s="34" t="s">
        <v>48</v>
      </c>
      <c r="I112" s="35" t="n">
        <v>5.0</v>
      </c>
      <c r="J112" s="35"/>
      <c r="K112" s="37" t="n">
        <v>0.2</v>
      </c>
    </row>
    <row r="113">
      <c r="A113" s="35" t="s">
        <v>207</v>
      </c>
      <c r="B113" s="34" t="s">
        <v>208</v>
      </c>
      <c r="C113" s="35" t="s">
        <v>49</v>
      </c>
      <c r="D113" s="34" t="s">
        <v>48</v>
      </c>
      <c r="E113" s="34" t="s">
        <v>48</v>
      </c>
      <c r="F113" s="34" t="s">
        <v>48</v>
      </c>
      <c r="G113" s="34" t="s">
        <v>48</v>
      </c>
      <c r="H113" s="34" t="s">
        <v>48</v>
      </c>
      <c r="I113" s="34" t="s">
        <v>48</v>
      </c>
      <c r="J113" s="34" t="s">
        <v>48</v>
      </c>
      <c r="K113" s="34" t="s">
        <v>48</v>
      </c>
    </row>
    <row r="114">
      <c r="A114" s="35" t="s">
        <v>48</v>
      </c>
      <c r="B114" s="34" t="s">
        <v>48</v>
      </c>
      <c r="C114" s="35" t="s">
        <v>48</v>
      </c>
      <c r="D114" s="35" t="s">
        <v>50</v>
      </c>
      <c r="E114" s="34" t="s">
        <v>209</v>
      </c>
      <c r="F114" s="35" t="s">
        <v>48</v>
      </c>
      <c r="G114" s="34" t="s">
        <v>210</v>
      </c>
      <c r="H114" s="34" t="s">
        <v>48</v>
      </c>
      <c r="I114" s="35" t="n">
        <v>5.0</v>
      </c>
      <c r="J114" s="35"/>
      <c r="K114" s="37" t="n">
        <v>0.5</v>
      </c>
    </row>
    <row r="115">
      <c r="A115" s="35" t="s">
        <v>48</v>
      </c>
      <c r="B115" s="34" t="s">
        <v>48</v>
      </c>
      <c r="C115" s="35" t="s">
        <v>48</v>
      </c>
      <c r="D115" s="35" t="s">
        <v>50</v>
      </c>
      <c r="E115" s="34" t="s">
        <v>211</v>
      </c>
      <c r="F115" s="35" t="s">
        <v>48</v>
      </c>
      <c r="G115" s="34" t="s">
        <v>212</v>
      </c>
      <c r="H115" s="34" t="s">
        <v>48</v>
      </c>
      <c r="I115" s="35" t="n">
        <v>5.0</v>
      </c>
      <c r="J115" s="35"/>
      <c r="K115" s="37" t="n">
        <v>0.5</v>
      </c>
    </row>
    <row r="116">
      <c r="A116" s="35" t="s">
        <v>213</v>
      </c>
      <c r="B116" s="34" t="s">
        <v>214</v>
      </c>
      <c r="C116" s="35" t="s">
        <v>49</v>
      </c>
      <c r="D116" s="34" t="s">
        <v>48</v>
      </c>
      <c r="E116" s="34" t="s">
        <v>48</v>
      </c>
      <c r="F116" s="34" t="s">
        <v>48</v>
      </c>
      <c r="G116" s="34" t="s">
        <v>48</v>
      </c>
      <c r="H116" s="34" t="s">
        <v>48</v>
      </c>
      <c r="I116" s="34" t="s">
        <v>48</v>
      </c>
      <c r="J116" s="34" t="s">
        <v>48</v>
      </c>
      <c r="K116" s="34" t="s">
        <v>48</v>
      </c>
    </row>
    <row r="117">
      <c r="A117" s="35" t="s">
        <v>48</v>
      </c>
      <c r="B117" s="34" t="s">
        <v>48</v>
      </c>
      <c r="C117" s="35" t="s">
        <v>48</v>
      </c>
      <c r="D117" s="35" t="s">
        <v>50</v>
      </c>
      <c r="E117" s="34" t="s">
        <v>215</v>
      </c>
      <c r="F117" s="35" t="s">
        <v>48</v>
      </c>
      <c r="G117" s="34" t="s">
        <v>216</v>
      </c>
      <c r="H117" s="34" t="s">
        <v>48</v>
      </c>
      <c r="I117" s="35" t="n">
        <v>5.0</v>
      </c>
      <c r="J117" s="35"/>
      <c r="K117" s="37" t="n">
        <v>0.5</v>
      </c>
    </row>
    <row r="118">
      <c r="A118" s="35" t="s">
        <v>48</v>
      </c>
      <c r="B118" s="34" t="s">
        <v>48</v>
      </c>
      <c r="C118" s="35" t="s">
        <v>48</v>
      </c>
      <c r="D118" s="35" t="s">
        <v>50</v>
      </c>
      <c r="E118" s="34" t="s">
        <v>217</v>
      </c>
      <c r="F118" s="35" t="s">
        <v>48</v>
      </c>
      <c r="G118" s="34" t="s">
        <v>218</v>
      </c>
      <c r="H118" s="34" t="s">
        <v>48</v>
      </c>
      <c r="I118" s="35" t="n">
        <v>5.0</v>
      </c>
      <c r="J118" s="35"/>
      <c r="K118" s="37" t="n">
        <v>0.75</v>
      </c>
    </row>
    <row r="119">
      <c r="A119" s="35" t="s">
        <v>48</v>
      </c>
      <c r="B119" s="34" t="s">
        <v>48</v>
      </c>
      <c r="C119" s="35" t="s">
        <v>48</v>
      </c>
      <c r="D119" s="35" t="s">
        <v>50</v>
      </c>
      <c r="E119" s="34" t="s">
        <v>219</v>
      </c>
      <c r="F119" s="35" t="s">
        <v>48</v>
      </c>
      <c r="G119" s="34" t="s">
        <v>220</v>
      </c>
      <c r="H119" s="34" t="s">
        <v>48</v>
      </c>
      <c r="I119" s="35" t="n">
        <v>4.0</v>
      </c>
      <c r="J119" s="35"/>
      <c r="K119" s="37" t="n">
        <v>0.5</v>
      </c>
    </row>
    <row r="120">
      <c r="A120" s="35" t="s">
        <v>48</v>
      </c>
      <c r="B120" s="34" t="s">
        <v>48</v>
      </c>
      <c r="C120" s="35" t="s">
        <v>48</v>
      </c>
      <c r="D120" s="35" t="s">
        <v>50</v>
      </c>
      <c r="E120" s="34" t="s">
        <v>221</v>
      </c>
      <c r="F120" s="35" t="s">
        <v>48</v>
      </c>
      <c r="G120" s="34" t="s">
        <v>222</v>
      </c>
      <c r="H120" s="34" t="s">
        <v>48</v>
      </c>
      <c r="I120" s="35" t="n">
        <v>5.0</v>
      </c>
      <c r="J120" s="35"/>
      <c r="K120" s="37" t="n">
        <v>0.5</v>
      </c>
    </row>
    <row r="121">
      <c r="A121" s="35" t="s">
        <v>48</v>
      </c>
      <c r="B121" s="34" t="s">
        <v>48</v>
      </c>
      <c r="C121" s="35" t="s">
        <v>48</v>
      </c>
      <c r="D121" s="35" t="s">
        <v>50</v>
      </c>
      <c r="E121" s="34" t="s">
        <v>223</v>
      </c>
      <c r="F121" s="35" t="s">
        <v>48</v>
      </c>
      <c r="G121" s="34" t="s">
        <v>224</v>
      </c>
      <c r="H121" s="34" t="s">
        <v>48</v>
      </c>
      <c r="I121" s="35" t="n">
        <v>4.0</v>
      </c>
      <c r="J121" s="35"/>
      <c r="K121" s="37" t="n">
        <v>0.5</v>
      </c>
    </row>
    <row r="122">
      <c r="A122" s="35" t="s">
        <v>48</v>
      </c>
      <c r="B122" s="34" t="s">
        <v>48</v>
      </c>
      <c r="C122" s="35" t="s">
        <v>48</v>
      </c>
      <c r="D122" s="35" t="s">
        <v>50</v>
      </c>
      <c r="E122" s="34" t="s">
        <v>225</v>
      </c>
      <c r="F122" s="35" t="s">
        <v>48</v>
      </c>
      <c r="G122" s="34" t="s">
        <v>226</v>
      </c>
      <c r="H122" s="34" t="s">
        <v>48</v>
      </c>
      <c r="I122" s="35" t="n">
        <v>4.0</v>
      </c>
      <c r="J122" s="35"/>
      <c r="K122" s="37" t="n">
        <v>0.5</v>
      </c>
    </row>
    <row r="123">
      <c r="A123" s="35" t="s">
        <v>227</v>
      </c>
      <c r="B123" s="34" t="s">
        <v>228</v>
      </c>
      <c r="C123" s="35" t="s">
        <v>49</v>
      </c>
      <c r="D123" s="34" t="s">
        <v>48</v>
      </c>
      <c r="E123" s="34" t="s">
        <v>48</v>
      </c>
      <c r="F123" s="34" t="s">
        <v>48</v>
      </c>
      <c r="G123" s="34" t="s">
        <v>48</v>
      </c>
      <c r="H123" s="34" t="s">
        <v>48</v>
      </c>
      <c r="I123" s="34" t="s">
        <v>48</v>
      </c>
      <c r="J123" s="34" t="s">
        <v>48</v>
      </c>
      <c r="K123" s="34" t="s">
        <v>48</v>
      </c>
    </row>
    <row r="124">
      <c r="A124" s="35" t="s">
        <v>48</v>
      </c>
      <c r="B124" s="34" t="s">
        <v>48</v>
      </c>
      <c r="C124" s="35" t="s">
        <v>48</v>
      </c>
      <c r="D124" s="35" t="s">
        <v>50</v>
      </c>
      <c r="E124" s="34" t="s">
        <v>229</v>
      </c>
      <c r="F124" s="35" t="s">
        <v>48</v>
      </c>
      <c r="G124" s="34" t="s">
        <v>230</v>
      </c>
      <c r="H124" s="34" t="s">
        <v>48</v>
      </c>
      <c r="I124" s="35" t="n">
        <v>4.0</v>
      </c>
      <c r="J124" s="35"/>
      <c r="K124" s="37" t="n">
        <v>0.5</v>
      </c>
    </row>
    <row r="125">
      <c r="A125" s="35" t="s">
        <v>48</v>
      </c>
      <c r="B125" s="34" t="s">
        <v>48</v>
      </c>
      <c r="C125" s="35" t="s">
        <v>48</v>
      </c>
      <c r="D125" s="35" t="s">
        <v>50</v>
      </c>
      <c r="E125" s="34" t="s">
        <v>231</v>
      </c>
      <c r="F125" s="35" t="s">
        <v>48</v>
      </c>
      <c r="G125" s="34" t="s">
        <v>232</v>
      </c>
      <c r="H125" s="34" t="s">
        <v>48</v>
      </c>
      <c r="I125" s="35" t="n">
        <v>2.0</v>
      </c>
      <c r="J125" s="35"/>
      <c r="K125" s="37" t="n">
        <v>0.75</v>
      </c>
    </row>
    <row r="126">
      <c r="A126" s="35" t="s">
        <v>48</v>
      </c>
      <c r="B126" s="34" t="s">
        <v>48</v>
      </c>
      <c r="C126" s="35" t="s">
        <v>48</v>
      </c>
      <c r="D126" s="35" t="s">
        <v>50</v>
      </c>
      <c r="E126" s="34" t="s">
        <v>233</v>
      </c>
      <c r="F126" s="35" t="s">
        <v>48</v>
      </c>
      <c r="G126" s="34" t="s">
        <v>234</v>
      </c>
      <c r="H126" s="34" t="s">
        <v>48</v>
      </c>
      <c r="I126" s="35" t="n">
        <v>3.0</v>
      </c>
      <c r="J126" s="35"/>
      <c r="K126" s="37" t="n">
        <v>0.3</v>
      </c>
    </row>
    <row r="127">
      <c r="A127" s="35" t="s">
        <v>48</v>
      </c>
      <c r="B127" s="34" t="s">
        <v>48</v>
      </c>
      <c r="C127" s="35" t="s">
        <v>48</v>
      </c>
      <c r="D127" s="35" t="s">
        <v>50</v>
      </c>
      <c r="E127" s="34" t="s">
        <v>235</v>
      </c>
      <c r="F127" s="35" t="s">
        <v>48</v>
      </c>
      <c r="G127" s="34" t="s">
        <v>236</v>
      </c>
      <c r="H127" s="34" t="s">
        <v>48</v>
      </c>
      <c r="I127" s="35" t="n">
        <v>3.0</v>
      </c>
      <c r="J127" s="35"/>
      <c r="K127" s="37" t="n">
        <v>0.2</v>
      </c>
    </row>
    <row r="128">
      <c r="A128" s="35" t="s">
        <v>237</v>
      </c>
      <c r="B128" s="34" t="s">
        <v>238</v>
      </c>
      <c r="C128" s="35" t="s">
        <v>49</v>
      </c>
      <c r="D128" s="34" t="s">
        <v>48</v>
      </c>
      <c r="E128" s="34" t="s">
        <v>48</v>
      </c>
      <c r="F128" s="34" t="s">
        <v>48</v>
      </c>
      <c r="G128" s="34" t="s">
        <v>48</v>
      </c>
      <c r="H128" s="34" t="s">
        <v>48</v>
      </c>
      <c r="I128" s="34" t="s">
        <v>48</v>
      </c>
      <c r="J128" s="34" t="s">
        <v>48</v>
      </c>
      <c r="K128" s="34" t="s">
        <v>48</v>
      </c>
    </row>
    <row r="129">
      <c r="A129" s="35" t="s">
        <v>48</v>
      </c>
      <c r="B129" s="34" t="s">
        <v>48</v>
      </c>
      <c r="C129" s="35" t="s">
        <v>48</v>
      </c>
      <c r="D129" s="35" t="s">
        <v>61</v>
      </c>
      <c r="E129" s="34" t="s">
        <v>239</v>
      </c>
      <c r="F129" s="35" t="s">
        <v>48</v>
      </c>
      <c r="G129" s="34" t="s">
        <v>48</v>
      </c>
      <c r="H129" s="34" t="s">
        <v>48</v>
      </c>
      <c r="I129" s="35" t="n">
        <v>3.0</v>
      </c>
      <c r="J129" s="35"/>
      <c r="K129" s="37" t="n">
        <v>1.0</v>
      </c>
    </row>
    <row r="130">
      <c r="A130" s="35" t="s">
        <v>48</v>
      </c>
      <c r="B130" s="34" t="s">
        <v>48</v>
      </c>
      <c r="C130" s="35" t="s">
        <v>48</v>
      </c>
      <c r="D130" s="35" t="s">
        <v>48</v>
      </c>
      <c r="E130" s="34" t="s">
        <v>48</v>
      </c>
      <c r="F130" s="35" t="n">
        <v>0.0</v>
      </c>
      <c r="G130" s="34" t="s">
        <v>240</v>
      </c>
      <c r="H130" s="34" t="s">
        <v>48</v>
      </c>
      <c r="I130" s="35"/>
      <c r="J130" s="35"/>
      <c r="K130" s="37"/>
    </row>
    <row r="131">
      <c r="A131" s="35" t="s">
        <v>48</v>
      </c>
      <c r="B131" s="34" t="s">
        <v>48</v>
      </c>
      <c r="C131" s="35" t="s">
        <v>48</v>
      </c>
      <c r="D131" s="35" t="s">
        <v>48</v>
      </c>
      <c r="E131" s="34" t="s">
        <v>48</v>
      </c>
      <c r="F131" s="35" t="n">
        <v>1.0</v>
      </c>
      <c r="G131" s="34" t="s">
        <v>241</v>
      </c>
      <c r="H131" s="34" t="s">
        <v>48</v>
      </c>
      <c r="I131" s="35"/>
      <c r="J131" s="35"/>
      <c r="K131" s="37"/>
    </row>
    <row r="132">
      <c r="A132" s="35" t="s">
        <v>48</v>
      </c>
      <c r="B132" s="34" t="s">
        <v>48</v>
      </c>
      <c r="C132" s="35" t="s">
        <v>48</v>
      </c>
      <c r="D132" s="35" t="s">
        <v>48</v>
      </c>
      <c r="E132" s="34" t="s">
        <v>48</v>
      </c>
      <c r="F132" s="35" t="n">
        <v>2.0</v>
      </c>
      <c r="G132" s="34" t="s">
        <v>242</v>
      </c>
      <c r="H132" s="34" t="s">
        <v>48</v>
      </c>
      <c r="I132" s="35"/>
      <c r="J132" s="35"/>
      <c r="K132" s="37"/>
    </row>
    <row r="133">
      <c r="A133" s="35" t="s">
        <v>48</v>
      </c>
      <c r="B133" s="34" t="s">
        <v>48</v>
      </c>
      <c r="C133" s="35" t="s">
        <v>48</v>
      </c>
      <c r="D133" s="35" t="s">
        <v>48</v>
      </c>
      <c r="E133" s="34" t="s">
        <v>48</v>
      </c>
      <c r="F133" s="35" t="n">
        <v>3.0</v>
      </c>
      <c r="G133" s="34" t="s">
        <v>243</v>
      </c>
      <c r="H133" s="34" t="s">
        <v>48</v>
      </c>
      <c r="I133" s="35"/>
      <c r="J133" s="35"/>
      <c r="K133" s="37"/>
    </row>
    <row r="134">
      <c r="A134" s="35" t="s">
        <v>48</v>
      </c>
      <c r="B134" s="34" t="s">
        <v>48</v>
      </c>
      <c r="C134" s="35" t="s">
        <v>48</v>
      </c>
      <c r="D134" s="35" t="s">
        <v>61</v>
      </c>
      <c r="E134" s="34" t="s">
        <v>244</v>
      </c>
      <c r="F134" s="35" t="s">
        <v>48</v>
      </c>
      <c r="G134" s="34" t="s">
        <v>48</v>
      </c>
      <c r="H134" s="34" t="s">
        <v>48</v>
      </c>
      <c r="I134" s="35" t="n">
        <v>3.0</v>
      </c>
      <c r="J134" s="35"/>
      <c r="K134" s="37" t="n">
        <v>1.0</v>
      </c>
    </row>
    <row r="135">
      <c r="A135" s="35" t="s">
        <v>48</v>
      </c>
      <c r="B135" s="34" t="s">
        <v>48</v>
      </c>
      <c r="C135" s="35" t="s">
        <v>48</v>
      </c>
      <c r="D135" s="35" t="s">
        <v>48</v>
      </c>
      <c r="E135" s="34" t="s">
        <v>48</v>
      </c>
      <c r="F135" s="35" t="n">
        <v>0.0</v>
      </c>
      <c r="G135" s="34" t="s">
        <v>245</v>
      </c>
      <c r="H135" s="34" t="s">
        <v>48</v>
      </c>
      <c r="I135" s="35"/>
      <c r="J135" s="35"/>
      <c r="K135" s="37"/>
    </row>
    <row r="136">
      <c r="A136" s="35" t="s">
        <v>48</v>
      </c>
      <c r="B136" s="34" t="s">
        <v>48</v>
      </c>
      <c r="C136" s="35" t="s">
        <v>48</v>
      </c>
      <c r="D136" s="35" t="s">
        <v>48</v>
      </c>
      <c r="E136" s="34" t="s">
        <v>48</v>
      </c>
      <c r="F136" s="35" t="n">
        <v>1.0</v>
      </c>
      <c r="G136" s="34" t="s">
        <v>246</v>
      </c>
      <c r="H136" s="34" t="s">
        <v>48</v>
      </c>
      <c r="I136" s="35"/>
      <c r="J136" s="35"/>
      <c r="K136" s="37"/>
    </row>
    <row r="137">
      <c r="A137" s="35" t="s">
        <v>48</v>
      </c>
      <c r="B137" s="34" t="s">
        <v>48</v>
      </c>
      <c r="C137" s="35" t="s">
        <v>48</v>
      </c>
      <c r="D137" s="35" t="s">
        <v>48</v>
      </c>
      <c r="E137" s="34" t="s">
        <v>48</v>
      </c>
      <c r="F137" s="35" t="n">
        <v>2.0</v>
      </c>
      <c r="G137" s="34" t="s">
        <v>247</v>
      </c>
      <c r="H137" s="34" t="s">
        <v>48</v>
      </c>
      <c r="I137" s="35"/>
      <c r="J137" s="35"/>
      <c r="K137" s="37"/>
    </row>
    <row r="138">
      <c r="A138" s="35" t="s">
        <v>48</v>
      </c>
      <c r="B138" s="34" t="s">
        <v>48</v>
      </c>
      <c r="C138" s="35" t="s">
        <v>48</v>
      </c>
      <c r="D138" s="35" t="s">
        <v>48</v>
      </c>
      <c r="E138" s="34" t="s">
        <v>48</v>
      </c>
      <c r="F138" s="35" t="n">
        <v>3.0</v>
      </c>
      <c r="G138" s="34" t="s">
        <v>248</v>
      </c>
      <c r="H138" s="34" t="s">
        <v>48</v>
      </c>
      <c r="I138" s="35"/>
      <c r="J138" s="35"/>
      <c r="K138" s="37"/>
    </row>
    <row r="139">
      <c r="A139" s="35" t="s">
        <v>48</v>
      </c>
      <c r="B139" s="34" t="s">
        <v>48</v>
      </c>
      <c r="C139" s="35" t="s">
        <v>48</v>
      </c>
      <c r="D139" s="35" t="s">
        <v>48</v>
      </c>
      <c r="E139" s="34" t="s">
        <v>48</v>
      </c>
      <c r="F139" s="35" t="s">
        <v>48</v>
      </c>
      <c r="G139" s="34" t="s">
        <v>48</v>
      </c>
      <c r="H139" s="34" t="s">
        <v>48</v>
      </c>
      <c r="I139" s="35"/>
      <c r="J139" s="35"/>
      <c r="K139" s="37"/>
    </row>
    <row r="140">
      <c r="A140" s="35" t="s">
        <v>48</v>
      </c>
      <c r="B140" s="34" t="s">
        <v>48</v>
      </c>
      <c r="C140" s="35" t="s">
        <v>48</v>
      </c>
      <c r="D140" s="35" t="s">
        <v>48</v>
      </c>
      <c r="E140" s="34" t="s">
        <v>48</v>
      </c>
      <c r="F140" s="35" t="s">
        <v>48</v>
      </c>
      <c r="G140" s="34" t="s">
        <v>48</v>
      </c>
      <c r="H140" s="34" t="s">
        <v>48</v>
      </c>
      <c r="I140" s="35"/>
      <c r="J140" s="35"/>
      <c r="K140" s="37"/>
    </row>
    <row r="141">
      <c r="A141" s="58" t="s">
        <v>15</v>
      </c>
      <c r="B141" s="59" t="s">
        <v>16</v>
      </c>
      <c r="C141" s="60" t="s">
        <v>10</v>
      </c>
      <c r="D141" s="61" t="s">
        <v>6</v>
      </c>
      <c r="E141" s="62" t="s">
        <v>1</v>
      </c>
      <c r="F141" s="63" t="s">
        <v>2</v>
      </c>
      <c r="G141" s="64" t="s">
        <v>8</v>
      </c>
      <c r="H141" s="65" t="s">
        <v>9</v>
      </c>
      <c r="I141" s="66" t="s">
        <v>23</v>
      </c>
      <c r="J141" s="67" t="s">
        <v>11</v>
      </c>
      <c r="K141" s="68" t="s">
        <v>3</v>
      </c>
      <c r="L141" s="69" t="s">
        <v>249</v>
      </c>
      <c r="M141" s="70" t="s">
        <v>4</v>
      </c>
      <c r="N141" s="71">
        <f>SUM(K142:K201)</f>
      </c>
    </row>
    <row r="142">
      <c r="A142" s="35" t="s">
        <v>250</v>
      </c>
      <c r="B142" s="34" t="s">
        <v>251</v>
      </c>
      <c r="C142" s="35" t="s">
        <v>49</v>
      </c>
      <c r="D142" s="34" t="s">
        <v>48</v>
      </c>
      <c r="E142" s="34" t="s">
        <v>48</v>
      </c>
      <c r="F142" s="34" t="s">
        <v>48</v>
      </c>
      <c r="G142" s="34" t="s">
        <v>48</v>
      </c>
      <c r="H142" s="34" t="s">
        <v>48</v>
      </c>
      <c r="I142" s="34" t="s">
        <v>48</v>
      </c>
      <c r="J142" s="34" t="s">
        <v>48</v>
      </c>
      <c r="K142" s="34" t="s">
        <v>48</v>
      </c>
    </row>
    <row r="143">
      <c r="A143" s="35" t="s">
        <v>48</v>
      </c>
      <c r="B143" s="34" t="s">
        <v>48</v>
      </c>
      <c r="C143" s="35" t="s">
        <v>48</v>
      </c>
      <c r="D143" s="35" t="s">
        <v>50</v>
      </c>
      <c r="E143" s="34" t="s">
        <v>252</v>
      </c>
      <c r="F143" s="35" t="s">
        <v>48</v>
      </c>
      <c r="G143" s="34" t="s">
        <v>253</v>
      </c>
      <c r="H143" s="34" t="s">
        <v>48</v>
      </c>
      <c r="I143" s="35" t="n">
        <v>1.0</v>
      </c>
      <c r="J143" s="35"/>
      <c r="K143" s="37" t="n">
        <v>0.5</v>
      </c>
    </row>
    <row r="144">
      <c r="A144" s="35" t="s">
        <v>48</v>
      </c>
      <c r="B144" s="34" t="s">
        <v>48</v>
      </c>
      <c r="C144" s="35" t="s">
        <v>48</v>
      </c>
      <c r="D144" s="35" t="s">
        <v>50</v>
      </c>
      <c r="E144" s="34" t="s">
        <v>254</v>
      </c>
      <c r="F144" s="35" t="s">
        <v>48</v>
      </c>
      <c r="G144" s="34" t="s">
        <v>255</v>
      </c>
      <c r="H144" s="34" t="s">
        <v>48</v>
      </c>
      <c r="I144" s="35" t="n">
        <v>1.0</v>
      </c>
      <c r="J144" s="35"/>
      <c r="K144" s="37" t="n">
        <v>0.5</v>
      </c>
    </row>
    <row r="145">
      <c r="A145" s="35" t="s">
        <v>48</v>
      </c>
      <c r="B145" s="34" t="s">
        <v>48</v>
      </c>
      <c r="C145" s="35" t="s">
        <v>48</v>
      </c>
      <c r="D145" s="35" t="s">
        <v>50</v>
      </c>
      <c r="E145" s="34" t="s">
        <v>256</v>
      </c>
      <c r="F145" s="35" t="s">
        <v>48</v>
      </c>
      <c r="G145" s="34" t="s">
        <v>257</v>
      </c>
      <c r="H145" s="34" t="s">
        <v>48</v>
      </c>
      <c r="I145" s="35" t="n">
        <v>1.0</v>
      </c>
      <c r="J145" s="35"/>
      <c r="K145" s="37" t="n">
        <v>0.5</v>
      </c>
    </row>
    <row r="146">
      <c r="A146" s="35" t="s">
        <v>258</v>
      </c>
      <c r="B146" s="34" t="s">
        <v>259</v>
      </c>
      <c r="C146" s="35" t="s">
        <v>49</v>
      </c>
      <c r="D146" s="34" t="s">
        <v>48</v>
      </c>
      <c r="E146" s="34" t="s">
        <v>48</v>
      </c>
      <c r="F146" s="34" t="s">
        <v>48</v>
      </c>
      <c r="G146" s="34" t="s">
        <v>48</v>
      </c>
      <c r="H146" s="34" t="s">
        <v>48</v>
      </c>
      <c r="I146" s="34" t="s">
        <v>48</v>
      </c>
      <c r="J146" s="34" t="s">
        <v>48</v>
      </c>
      <c r="K146" s="34" t="s">
        <v>48</v>
      </c>
    </row>
    <row r="147">
      <c r="A147" s="35" t="s">
        <v>48</v>
      </c>
      <c r="B147" s="34" t="s">
        <v>48</v>
      </c>
      <c r="C147" s="35" t="s">
        <v>48</v>
      </c>
      <c r="D147" s="35" t="s">
        <v>50</v>
      </c>
      <c r="E147" s="34" t="s">
        <v>260</v>
      </c>
      <c r="F147" s="35" t="s">
        <v>48</v>
      </c>
      <c r="G147" s="34" t="s">
        <v>261</v>
      </c>
      <c r="H147" s="34" t="s">
        <v>48</v>
      </c>
      <c r="I147" s="35" t="n">
        <v>5.0</v>
      </c>
      <c r="J147" s="35"/>
      <c r="K147" s="37" t="n">
        <v>0.5</v>
      </c>
    </row>
    <row r="148">
      <c r="A148" s="35" t="s">
        <v>48</v>
      </c>
      <c r="B148" s="34" t="s">
        <v>48</v>
      </c>
      <c r="C148" s="35" t="s">
        <v>48</v>
      </c>
      <c r="D148" s="35" t="s">
        <v>50</v>
      </c>
      <c r="E148" s="34" t="s">
        <v>262</v>
      </c>
      <c r="F148" s="35" t="s">
        <v>48</v>
      </c>
      <c r="G148" s="34" t="s">
        <v>263</v>
      </c>
      <c r="H148" s="34" t="s">
        <v>48</v>
      </c>
      <c r="I148" s="35" t="n">
        <v>5.0</v>
      </c>
      <c r="J148" s="35"/>
      <c r="K148" s="37" t="n">
        <v>0.25</v>
      </c>
    </row>
    <row r="149">
      <c r="A149" s="35" t="s">
        <v>48</v>
      </c>
      <c r="B149" s="34" t="s">
        <v>48</v>
      </c>
      <c r="C149" s="35" t="s">
        <v>48</v>
      </c>
      <c r="D149" s="35" t="s">
        <v>50</v>
      </c>
      <c r="E149" s="34" t="s">
        <v>264</v>
      </c>
      <c r="F149" s="35" t="s">
        <v>48</v>
      </c>
      <c r="G149" s="34" t="s">
        <v>265</v>
      </c>
      <c r="H149" s="34" t="s">
        <v>48</v>
      </c>
      <c r="I149" s="35" t="n">
        <v>2.0</v>
      </c>
      <c r="J149" s="35"/>
      <c r="K149" s="37" t="n">
        <v>0.25</v>
      </c>
    </row>
    <row r="150">
      <c r="A150" s="35" t="s">
        <v>48</v>
      </c>
      <c r="B150" s="34" t="s">
        <v>48</v>
      </c>
      <c r="C150" s="35" t="s">
        <v>48</v>
      </c>
      <c r="D150" s="35" t="s">
        <v>50</v>
      </c>
      <c r="E150" s="34" t="s">
        <v>266</v>
      </c>
      <c r="F150" s="35" t="s">
        <v>48</v>
      </c>
      <c r="G150" s="34" t="s">
        <v>267</v>
      </c>
      <c r="H150" s="34" t="s">
        <v>48</v>
      </c>
      <c r="I150" s="35" t="n">
        <v>5.0</v>
      </c>
      <c r="J150" s="35"/>
      <c r="K150" s="37" t="n">
        <v>0.25</v>
      </c>
    </row>
    <row r="151">
      <c r="A151" s="35" t="s">
        <v>48</v>
      </c>
      <c r="B151" s="34" t="s">
        <v>48</v>
      </c>
      <c r="C151" s="35" t="s">
        <v>48</v>
      </c>
      <c r="D151" s="35" t="s">
        <v>50</v>
      </c>
      <c r="E151" s="34" t="s">
        <v>268</v>
      </c>
      <c r="F151" s="35" t="s">
        <v>48</v>
      </c>
      <c r="G151" s="34" t="s">
        <v>269</v>
      </c>
      <c r="H151" s="34" t="s">
        <v>48</v>
      </c>
      <c r="I151" s="35" t="n">
        <v>5.0</v>
      </c>
      <c r="J151" s="35"/>
      <c r="K151" s="37" t="n">
        <v>0.25</v>
      </c>
    </row>
    <row r="152">
      <c r="A152" s="35" t="s">
        <v>48</v>
      </c>
      <c r="B152" s="34" t="s">
        <v>48</v>
      </c>
      <c r="C152" s="35" t="s">
        <v>48</v>
      </c>
      <c r="D152" s="35" t="s">
        <v>50</v>
      </c>
      <c r="E152" s="34" t="s">
        <v>270</v>
      </c>
      <c r="F152" s="35" t="s">
        <v>48</v>
      </c>
      <c r="G152" s="34" t="s">
        <v>271</v>
      </c>
      <c r="H152" s="34" t="s">
        <v>48</v>
      </c>
      <c r="I152" s="35" t="n">
        <v>2.0</v>
      </c>
      <c r="J152" s="35"/>
      <c r="K152" s="37" t="n">
        <v>0.25</v>
      </c>
    </row>
    <row r="153">
      <c r="A153" s="35" t="s">
        <v>48</v>
      </c>
      <c r="B153" s="34" t="s">
        <v>48</v>
      </c>
      <c r="C153" s="35" t="s">
        <v>48</v>
      </c>
      <c r="D153" s="35" t="s">
        <v>50</v>
      </c>
      <c r="E153" s="34" t="s">
        <v>272</v>
      </c>
      <c r="F153" s="35" t="s">
        <v>48</v>
      </c>
      <c r="G153" s="34" t="s">
        <v>273</v>
      </c>
      <c r="H153" s="34" t="s">
        <v>48</v>
      </c>
      <c r="I153" s="35" t="n">
        <v>2.0</v>
      </c>
      <c r="J153" s="35"/>
      <c r="K153" s="37" t="n">
        <v>0.25</v>
      </c>
    </row>
    <row r="154">
      <c r="A154" s="35" t="s">
        <v>48</v>
      </c>
      <c r="B154" s="34" t="s">
        <v>48</v>
      </c>
      <c r="C154" s="35" t="s">
        <v>48</v>
      </c>
      <c r="D154" s="35" t="s">
        <v>50</v>
      </c>
      <c r="E154" s="34" t="s">
        <v>274</v>
      </c>
      <c r="F154" s="35" t="s">
        <v>48</v>
      </c>
      <c r="G154" s="34" t="s">
        <v>275</v>
      </c>
      <c r="H154" s="34" t="s">
        <v>48</v>
      </c>
      <c r="I154" s="35" t="n">
        <v>5.0</v>
      </c>
      <c r="J154" s="35"/>
      <c r="K154" s="37" t="n">
        <v>0.25</v>
      </c>
    </row>
    <row r="155">
      <c r="A155" s="35" t="s">
        <v>276</v>
      </c>
      <c r="B155" s="34" t="s">
        <v>277</v>
      </c>
      <c r="C155" s="35" t="s">
        <v>49</v>
      </c>
      <c r="D155" s="34" t="s">
        <v>48</v>
      </c>
      <c r="E155" s="34" t="s">
        <v>48</v>
      </c>
      <c r="F155" s="34" t="s">
        <v>48</v>
      </c>
      <c r="G155" s="34" t="s">
        <v>48</v>
      </c>
      <c r="H155" s="34" t="s">
        <v>48</v>
      </c>
      <c r="I155" s="34" t="s">
        <v>48</v>
      </c>
      <c r="J155" s="34" t="s">
        <v>48</v>
      </c>
      <c r="K155" s="34" t="s">
        <v>48</v>
      </c>
    </row>
    <row r="156">
      <c r="A156" s="35" t="s">
        <v>48</v>
      </c>
      <c r="B156" s="34" t="s">
        <v>48</v>
      </c>
      <c r="C156" s="35" t="s">
        <v>48</v>
      </c>
      <c r="D156" s="35" t="s">
        <v>50</v>
      </c>
      <c r="E156" s="34" t="s">
        <v>278</v>
      </c>
      <c r="F156" s="35" t="s">
        <v>48</v>
      </c>
      <c r="G156" s="34" t="s">
        <v>279</v>
      </c>
      <c r="H156" s="34" t="s">
        <v>48</v>
      </c>
      <c r="I156" s="35" t="n">
        <v>5.0</v>
      </c>
      <c r="J156" s="35"/>
      <c r="K156" s="37" t="n">
        <v>0.25</v>
      </c>
    </row>
    <row r="157">
      <c r="A157" s="35" t="s">
        <v>48</v>
      </c>
      <c r="B157" s="34" t="s">
        <v>48</v>
      </c>
      <c r="C157" s="35" t="s">
        <v>48</v>
      </c>
      <c r="D157" s="35" t="s">
        <v>50</v>
      </c>
      <c r="E157" s="34" t="s">
        <v>280</v>
      </c>
      <c r="F157" s="35" t="s">
        <v>48</v>
      </c>
      <c r="G157" s="34" t="s">
        <v>281</v>
      </c>
      <c r="H157" s="34" t="s">
        <v>48</v>
      </c>
      <c r="I157" s="35" t="n">
        <v>5.0</v>
      </c>
      <c r="J157" s="35"/>
      <c r="K157" s="37" t="n">
        <v>0.25</v>
      </c>
    </row>
    <row r="158">
      <c r="A158" s="35" t="s">
        <v>48</v>
      </c>
      <c r="B158" s="34" t="s">
        <v>48</v>
      </c>
      <c r="C158" s="35" t="s">
        <v>48</v>
      </c>
      <c r="D158" s="35" t="s">
        <v>50</v>
      </c>
      <c r="E158" s="34" t="s">
        <v>282</v>
      </c>
      <c r="F158" s="35" t="s">
        <v>48</v>
      </c>
      <c r="G158" s="34" t="s">
        <v>283</v>
      </c>
      <c r="H158" s="34" t="s">
        <v>48</v>
      </c>
      <c r="I158" s="35" t="n">
        <v>5.0</v>
      </c>
      <c r="J158" s="35"/>
      <c r="K158" s="37" t="n">
        <v>0.25</v>
      </c>
    </row>
    <row r="159">
      <c r="A159" s="35" t="s">
        <v>48</v>
      </c>
      <c r="B159" s="34" t="s">
        <v>48</v>
      </c>
      <c r="C159" s="35" t="s">
        <v>48</v>
      </c>
      <c r="D159" s="35" t="s">
        <v>50</v>
      </c>
      <c r="E159" s="34" t="s">
        <v>284</v>
      </c>
      <c r="F159" s="35" t="s">
        <v>48</v>
      </c>
      <c r="G159" s="34" t="s">
        <v>285</v>
      </c>
      <c r="H159" s="34" t="s">
        <v>48</v>
      </c>
      <c r="I159" s="35" t="n">
        <v>5.0</v>
      </c>
      <c r="J159" s="35"/>
      <c r="K159" s="37" t="n">
        <v>0.25</v>
      </c>
    </row>
    <row r="160">
      <c r="A160" s="35" t="s">
        <v>48</v>
      </c>
      <c r="B160" s="34" t="s">
        <v>48</v>
      </c>
      <c r="C160" s="35" t="s">
        <v>48</v>
      </c>
      <c r="D160" s="35" t="s">
        <v>50</v>
      </c>
      <c r="E160" s="34" t="s">
        <v>286</v>
      </c>
      <c r="F160" s="35" t="s">
        <v>48</v>
      </c>
      <c r="G160" s="34" t="s">
        <v>287</v>
      </c>
      <c r="H160" s="34" t="s">
        <v>48</v>
      </c>
      <c r="I160" s="35" t="n">
        <v>2.0</v>
      </c>
      <c r="J160" s="35"/>
      <c r="K160" s="37" t="n">
        <v>0.25</v>
      </c>
    </row>
    <row r="161">
      <c r="A161" s="35" t="s">
        <v>288</v>
      </c>
      <c r="B161" s="34" t="s">
        <v>289</v>
      </c>
      <c r="C161" s="35" t="s">
        <v>49</v>
      </c>
      <c r="D161" s="34" t="s">
        <v>48</v>
      </c>
      <c r="E161" s="34" t="s">
        <v>48</v>
      </c>
      <c r="F161" s="34" t="s">
        <v>48</v>
      </c>
      <c r="G161" s="34" t="s">
        <v>48</v>
      </c>
      <c r="H161" s="34" t="s">
        <v>48</v>
      </c>
      <c r="I161" s="34" t="s">
        <v>48</v>
      </c>
      <c r="J161" s="34" t="s">
        <v>48</v>
      </c>
      <c r="K161" s="34" t="s">
        <v>48</v>
      </c>
    </row>
    <row r="162">
      <c r="A162" s="35" t="s">
        <v>48</v>
      </c>
      <c r="B162" s="34" t="s">
        <v>48</v>
      </c>
      <c r="C162" s="35" t="s">
        <v>48</v>
      </c>
      <c r="D162" s="35" t="s">
        <v>50</v>
      </c>
      <c r="E162" s="34" t="s">
        <v>290</v>
      </c>
      <c r="F162" s="35" t="s">
        <v>48</v>
      </c>
      <c r="G162" s="34" t="s">
        <v>291</v>
      </c>
      <c r="H162" s="34" t="s">
        <v>48</v>
      </c>
      <c r="I162" s="35" t="n">
        <v>5.0</v>
      </c>
      <c r="J162" s="35"/>
      <c r="K162" s="37" t="n">
        <v>0.25</v>
      </c>
    </row>
    <row r="163">
      <c r="A163" s="35" t="s">
        <v>48</v>
      </c>
      <c r="B163" s="34" t="s">
        <v>48</v>
      </c>
      <c r="C163" s="35" t="s">
        <v>48</v>
      </c>
      <c r="D163" s="35" t="s">
        <v>50</v>
      </c>
      <c r="E163" s="34" t="s">
        <v>292</v>
      </c>
      <c r="F163" s="35" t="s">
        <v>48</v>
      </c>
      <c r="G163" s="34" t="s">
        <v>293</v>
      </c>
      <c r="H163" s="34" t="s">
        <v>48</v>
      </c>
      <c r="I163" s="35" t="n">
        <v>5.0</v>
      </c>
      <c r="J163" s="35"/>
      <c r="K163" s="37" t="n">
        <v>0.25</v>
      </c>
    </row>
    <row r="164">
      <c r="A164" s="35" t="s">
        <v>48</v>
      </c>
      <c r="B164" s="34" t="s">
        <v>48</v>
      </c>
      <c r="C164" s="35" t="s">
        <v>48</v>
      </c>
      <c r="D164" s="35" t="s">
        <v>50</v>
      </c>
      <c r="E164" s="34" t="s">
        <v>294</v>
      </c>
      <c r="F164" s="35" t="s">
        <v>48</v>
      </c>
      <c r="G164" s="34" t="s">
        <v>295</v>
      </c>
      <c r="H164" s="34" t="s">
        <v>48</v>
      </c>
      <c r="I164" s="35" t="n">
        <v>5.0</v>
      </c>
      <c r="J164" s="35"/>
      <c r="K164" s="37" t="n">
        <v>0.25</v>
      </c>
    </row>
    <row r="165">
      <c r="A165" s="35" t="s">
        <v>48</v>
      </c>
      <c r="B165" s="34" t="s">
        <v>48</v>
      </c>
      <c r="C165" s="35" t="s">
        <v>48</v>
      </c>
      <c r="D165" s="35" t="s">
        <v>50</v>
      </c>
      <c r="E165" s="34" t="s">
        <v>296</v>
      </c>
      <c r="F165" s="35" t="s">
        <v>48</v>
      </c>
      <c r="G165" s="34" t="s">
        <v>297</v>
      </c>
      <c r="H165" s="34" t="s">
        <v>48</v>
      </c>
      <c r="I165" s="35" t="n">
        <v>5.0</v>
      </c>
      <c r="J165" s="35"/>
      <c r="K165" s="37" t="n">
        <v>0.25</v>
      </c>
    </row>
    <row r="166">
      <c r="A166" s="35" t="s">
        <v>48</v>
      </c>
      <c r="B166" s="34" t="s">
        <v>48</v>
      </c>
      <c r="C166" s="35" t="s">
        <v>48</v>
      </c>
      <c r="D166" s="35" t="s">
        <v>50</v>
      </c>
      <c r="E166" s="34" t="s">
        <v>298</v>
      </c>
      <c r="F166" s="35" t="s">
        <v>48</v>
      </c>
      <c r="G166" s="34" t="s">
        <v>299</v>
      </c>
      <c r="H166" s="34" t="s">
        <v>48</v>
      </c>
      <c r="I166" s="35" t="n">
        <v>5.0</v>
      </c>
      <c r="J166" s="35"/>
      <c r="K166" s="37" t="n">
        <v>0.5</v>
      </c>
    </row>
    <row r="167">
      <c r="A167" s="35" t="s">
        <v>48</v>
      </c>
      <c r="B167" s="34" t="s">
        <v>48</v>
      </c>
      <c r="C167" s="35" t="s">
        <v>48</v>
      </c>
      <c r="D167" s="35" t="s">
        <v>50</v>
      </c>
      <c r="E167" s="34" t="s">
        <v>300</v>
      </c>
      <c r="F167" s="35" t="s">
        <v>48</v>
      </c>
      <c r="G167" s="34" t="s">
        <v>301</v>
      </c>
      <c r="H167" s="34" t="s">
        <v>48</v>
      </c>
      <c r="I167" s="35" t="n">
        <v>2.0</v>
      </c>
      <c r="J167" s="35"/>
      <c r="K167" s="37" t="n">
        <v>0.25</v>
      </c>
    </row>
    <row r="168">
      <c r="A168" s="35" t="s">
        <v>48</v>
      </c>
      <c r="B168" s="34" t="s">
        <v>48</v>
      </c>
      <c r="C168" s="35" t="s">
        <v>48</v>
      </c>
      <c r="D168" s="35" t="s">
        <v>50</v>
      </c>
      <c r="E168" s="34" t="s">
        <v>302</v>
      </c>
      <c r="F168" s="35" t="s">
        <v>48</v>
      </c>
      <c r="G168" s="34" t="s">
        <v>303</v>
      </c>
      <c r="H168" s="34" t="s">
        <v>48</v>
      </c>
      <c r="I168" s="35" t="n">
        <v>5.0</v>
      </c>
      <c r="J168" s="35"/>
      <c r="K168" s="37" t="n">
        <v>0.25</v>
      </c>
    </row>
    <row r="169">
      <c r="A169" s="35" t="s">
        <v>48</v>
      </c>
      <c r="B169" s="34" t="s">
        <v>48</v>
      </c>
      <c r="C169" s="35" t="s">
        <v>48</v>
      </c>
      <c r="D169" s="35" t="s">
        <v>50</v>
      </c>
      <c r="E169" s="34" t="s">
        <v>304</v>
      </c>
      <c r="F169" s="35" t="s">
        <v>48</v>
      </c>
      <c r="G169" s="34" t="s">
        <v>305</v>
      </c>
      <c r="H169" s="34" t="s">
        <v>48</v>
      </c>
      <c r="I169" s="35" t="n">
        <v>5.0</v>
      </c>
      <c r="J169" s="35"/>
      <c r="K169" s="37" t="n">
        <v>0.25</v>
      </c>
    </row>
    <row r="170">
      <c r="A170" s="35" t="s">
        <v>48</v>
      </c>
      <c r="B170" s="34" t="s">
        <v>48</v>
      </c>
      <c r="C170" s="35" t="s">
        <v>48</v>
      </c>
      <c r="D170" s="35" t="s">
        <v>50</v>
      </c>
      <c r="E170" s="34" t="s">
        <v>306</v>
      </c>
      <c r="F170" s="35" t="s">
        <v>48</v>
      </c>
      <c r="G170" s="34" t="s">
        <v>307</v>
      </c>
      <c r="H170" s="34" t="s">
        <v>48</v>
      </c>
      <c r="I170" s="35" t="n">
        <v>5.0</v>
      </c>
      <c r="J170" s="35"/>
      <c r="K170" s="37" t="n">
        <v>0.25</v>
      </c>
    </row>
    <row r="171">
      <c r="A171" s="35" t="s">
        <v>308</v>
      </c>
      <c r="B171" s="34" t="s">
        <v>309</v>
      </c>
      <c r="C171" s="35" t="s">
        <v>49</v>
      </c>
      <c r="D171" s="34" t="s">
        <v>48</v>
      </c>
      <c r="E171" s="34" t="s">
        <v>48</v>
      </c>
      <c r="F171" s="34" t="s">
        <v>48</v>
      </c>
      <c r="G171" s="34" t="s">
        <v>48</v>
      </c>
      <c r="H171" s="34" t="s">
        <v>48</v>
      </c>
      <c r="I171" s="34" t="s">
        <v>48</v>
      </c>
      <c r="J171" s="34" t="s">
        <v>48</v>
      </c>
      <c r="K171" s="34" t="s">
        <v>48</v>
      </c>
    </row>
    <row r="172">
      <c r="A172" s="35" t="s">
        <v>48</v>
      </c>
      <c r="B172" s="34" t="s">
        <v>48</v>
      </c>
      <c r="C172" s="35" t="s">
        <v>48</v>
      </c>
      <c r="D172" s="35" t="s">
        <v>50</v>
      </c>
      <c r="E172" s="34" t="s">
        <v>310</v>
      </c>
      <c r="F172" s="35" t="s">
        <v>48</v>
      </c>
      <c r="G172" s="34" t="s">
        <v>311</v>
      </c>
      <c r="H172" s="34" t="s">
        <v>48</v>
      </c>
      <c r="I172" s="35" t="n">
        <v>5.0</v>
      </c>
      <c r="J172" s="35"/>
      <c r="K172" s="37" t="n">
        <v>0.5</v>
      </c>
    </row>
    <row r="173">
      <c r="A173" s="35" t="s">
        <v>48</v>
      </c>
      <c r="B173" s="34" t="s">
        <v>48</v>
      </c>
      <c r="C173" s="35" t="s">
        <v>48</v>
      </c>
      <c r="D173" s="35" t="s">
        <v>50</v>
      </c>
      <c r="E173" s="34" t="s">
        <v>312</v>
      </c>
      <c r="F173" s="35" t="s">
        <v>48</v>
      </c>
      <c r="G173" s="34" t="s">
        <v>313</v>
      </c>
      <c r="H173" s="34" t="s">
        <v>48</v>
      </c>
      <c r="I173" s="35" t="n">
        <v>5.0</v>
      </c>
      <c r="J173" s="35"/>
      <c r="K173" s="37" t="n">
        <v>0.25</v>
      </c>
    </row>
    <row r="174">
      <c r="A174" s="35" t="s">
        <v>48</v>
      </c>
      <c r="B174" s="34" t="s">
        <v>48</v>
      </c>
      <c r="C174" s="35" t="s">
        <v>48</v>
      </c>
      <c r="D174" s="35" t="s">
        <v>50</v>
      </c>
      <c r="E174" s="34" t="s">
        <v>314</v>
      </c>
      <c r="F174" s="35" t="s">
        <v>48</v>
      </c>
      <c r="G174" s="34" t="s">
        <v>315</v>
      </c>
      <c r="H174" s="34" t="s">
        <v>48</v>
      </c>
      <c r="I174" s="35" t="n">
        <v>5.0</v>
      </c>
      <c r="J174" s="35"/>
      <c r="K174" s="37" t="n">
        <v>0.25</v>
      </c>
    </row>
    <row r="175">
      <c r="A175" s="35" t="s">
        <v>48</v>
      </c>
      <c r="B175" s="34" t="s">
        <v>48</v>
      </c>
      <c r="C175" s="35" t="s">
        <v>48</v>
      </c>
      <c r="D175" s="35" t="s">
        <v>50</v>
      </c>
      <c r="E175" s="34" t="s">
        <v>316</v>
      </c>
      <c r="F175" s="35" t="s">
        <v>48</v>
      </c>
      <c r="G175" s="34" t="s">
        <v>317</v>
      </c>
      <c r="H175" s="34" t="s">
        <v>48</v>
      </c>
      <c r="I175" s="35" t="n">
        <v>5.0</v>
      </c>
      <c r="J175" s="35"/>
      <c r="K175" s="37" t="n">
        <v>0.25</v>
      </c>
    </row>
    <row r="176">
      <c r="A176" s="35" t="s">
        <v>48</v>
      </c>
      <c r="B176" s="34" t="s">
        <v>48</v>
      </c>
      <c r="C176" s="35" t="s">
        <v>48</v>
      </c>
      <c r="D176" s="35" t="s">
        <v>50</v>
      </c>
      <c r="E176" s="34" t="s">
        <v>318</v>
      </c>
      <c r="F176" s="35" t="s">
        <v>48</v>
      </c>
      <c r="G176" s="34" t="s">
        <v>319</v>
      </c>
      <c r="H176" s="34" t="s">
        <v>48</v>
      </c>
      <c r="I176" s="35" t="n">
        <v>5.0</v>
      </c>
      <c r="J176" s="35"/>
      <c r="K176" s="37" t="n">
        <v>0.5</v>
      </c>
    </row>
    <row r="177">
      <c r="A177" s="35" t="s">
        <v>48</v>
      </c>
      <c r="B177" s="34" t="s">
        <v>48</v>
      </c>
      <c r="C177" s="35" t="s">
        <v>48</v>
      </c>
      <c r="D177" s="35" t="s">
        <v>50</v>
      </c>
      <c r="E177" s="34" t="s">
        <v>320</v>
      </c>
      <c r="F177" s="35" t="s">
        <v>48</v>
      </c>
      <c r="G177" s="34" t="s">
        <v>321</v>
      </c>
      <c r="H177" s="34" t="s">
        <v>48</v>
      </c>
      <c r="I177" s="35" t="n">
        <v>5.0</v>
      </c>
      <c r="J177" s="35"/>
      <c r="K177" s="37" t="n">
        <v>0.25</v>
      </c>
    </row>
    <row r="178">
      <c r="A178" s="35" t="s">
        <v>48</v>
      </c>
      <c r="B178" s="34" t="s">
        <v>48</v>
      </c>
      <c r="C178" s="35" t="s">
        <v>48</v>
      </c>
      <c r="D178" s="35" t="s">
        <v>50</v>
      </c>
      <c r="E178" s="34" t="s">
        <v>322</v>
      </c>
      <c r="F178" s="35" t="s">
        <v>48</v>
      </c>
      <c r="G178" s="34" t="s">
        <v>323</v>
      </c>
      <c r="H178" s="34" t="s">
        <v>48</v>
      </c>
      <c r="I178" s="35" t="n">
        <v>5.0</v>
      </c>
      <c r="J178" s="35"/>
      <c r="K178" s="37" t="n">
        <v>0.25</v>
      </c>
    </row>
    <row r="179">
      <c r="A179" s="35" t="s">
        <v>48</v>
      </c>
      <c r="B179" s="34" t="s">
        <v>48</v>
      </c>
      <c r="C179" s="35" t="s">
        <v>48</v>
      </c>
      <c r="D179" s="35" t="s">
        <v>50</v>
      </c>
      <c r="E179" s="34" t="s">
        <v>324</v>
      </c>
      <c r="F179" s="35" t="s">
        <v>48</v>
      </c>
      <c r="G179" s="34" t="s">
        <v>325</v>
      </c>
      <c r="H179" s="34" t="s">
        <v>48</v>
      </c>
      <c r="I179" s="35" t="n">
        <v>5.0</v>
      </c>
      <c r="J179" s="35"/>
      <c r="K179" s="37" t="n">
        <v>0.75</v>
      </c>
    </row>
    <row r="180">
      <c r="A180" s="35" t="s">
        <v>48</v>
      </c>
      <c r="B180" s="34" t="s">
        <v>48</v>
      </c>
      <c r="C180" s="35" t="s">
        <v>48</v>
      </c>
      <c r="D180" s="35" t="s">
        <v>50</v>
      </c>
      <c r="E180" s="34" t="s">
        <v>326</v>
      </c>
      <c r="F180" s="35" t="s">
        <v>48</v>
      </c>
      <c r="G180" s="34" t="s">
        <v>327</v>
      </c>
      <c r="H180" s="34" t="s">
        <v>48</v>
      </c>
      <c r="I180" s="35" t="n">
        <v>5.0</v>
      </c>
      <c r="J180" s="35"/>
      <c r="K180" s="37" t="n">
        <v>0.25</v>
      </c>
    </row>
    <row r="181">
      <c r="A181" s="35" t="s">
        <v>48</v>
      </c>
      <c r="B181" s="34" t="s">
        <v>48</v>
      </c>
      <c r="C181" s="35" t="s">
        <v>48</v>
      </c>
      <c r="D181" s="35" t="s">
        <v>50</v>
      </c>
      <c r="E181" s="34" t="s">
        <v>328</v>
      </c>
      <c r="F181" s="35" t="s">
        <v>48</v>
      </c>
      <c r="G181" s="34" t="s">
        <v>329</v>
      </c>
      <c r="H181" s="34" t="s">
        <v>48</v>
      </c>
      <c r="I181" s="35" t="n">
        <v>5.0</v>
      </c>
      <c r="J181" s="35"/>
      <c r="K181" s="37" t="n">
        <v>0.25</v>
      </c>
    </row>
    <row r="182">
      <c r="A182" s="35" t="s">
        <v>48</v>
      </c>
      <c r="B182" s="34" t="s">
        <v>48</v>
      </c>
      <c r="C182" s="35" t="s">
        <v>48</v>
      </c>
      <c r="D182" s="35" t="s">
        <v>50</v>
      </c>
      <c r="E182" s="34" t="s">
        <v>330</v>
      </c>
      <c r="F182" s="35" t="s">
        <v>48</v>
      </c>
      <c r="G182" s="34" t="s">
        <v>331</v>
      </c>
      <c r="H182" s="34" t="s">
        <v>48</v>
      </c>
      <c r="I182" s="35" t="n">
        <v>5.0</v>
      </c>
      <c r="J182" s="35"/>
      <c r="K182" s="37" t="n">
        <v>0.25</v>
      </c>
    </row>
    <row r="183">
      <c r="A183" s="35" t="s">
        <v>48</v>
      </c>
      <c r="B183" s="34" t="s">
        <v>48</v>
      </c>
      <c r="C183" s="35" t="s">
        <v>48</v>
      </c>
      <c r="D183" s="35" t="s">
        <v>50</v>
      </c>
      <c r="E183" s="34" t="s">
        <v>332</v>
      </c>
      <c r="F183" s="35" t="s">
        <v>48</v>
      </c>
      <c r="G183" s="34" t="s">
        <v>333</v>
      </c>
      <c r="H183" s="34" t="s">
        <v>48</v>
      </c>
      <c r="I183" s="35" t="n">
        <v>5.0</v>
      </c>
      <c r="J183" s="35"/>
      <c r="K183" s="37" t="n">
        <v>0.25</v>
      </c>
    </row>
    <row r="184">
      <c r="A184" s="35" t="s">
        <v>334</v>
      </c>
      <c r="B184" s="34" t="s">
        <v>335</v>
      </c>
      <c r="C184" s="35" t="s">
        <v>49</v>
      </c>
      <c r="D184" s="34" t="s">
        <v>48</v>
      </c>
      <c r="E184" s="34" t="s">
        <v>48</v>
      </c>
      <c r="F184" s="34" t="s">
        <v>48</v>
      </c>
      <c r="G184" s="34" t="s">
        <v>48</v>
      </c>
      <c r="H184" s="34" t="s">
        <v>48</v>
      </c>
      <c r="I184" s="34" t="s">
        <v>48</v>
      </c>
      <c r="J184" s="34" t="s">
        <v>48</v>
      </c>
      <c r="K184" s="34" t="s">
        <v>48</v>
      </c>
    </row>
    <row r="185">
      <c r="A185" s="35" t="s">
        <v>48</v>
      </c>
      <c r="B185" s="34" t="s">
        <v>48</v>
      </c>
      <c r="C185" s="35" t="s">
        <v>48</v>
      </c>
      <c r="D185" s="35" t="s">
        <v>50</v>
      </c>
      <c r="E185" s="34" t="s">
        <v>336</v>
      </c>
      <c r="F185" s="35" t="s">
        <v>48</v>
      </c>
      <c r="G185" s="34" t="s">
        <v>337</v>
      </c>
      <c r="H185" s="34" t="s">
        <v>48</v>
      </c>
      <c r="I185" s="35" t="n">
        <v>5.0</v>
      </c>
      <c r="J185" s="35"/>
      <c r="K185" s="37" t="n">
        <v>0.5</v>
      </c>
    </row>
    <row r="186">
      <c r="A186" s="35" t="s">
        <v>48</v>
      </c>
      <c r="B186" s="34" t="s">
        <v>48</v>
      </c>
      <c r="C186" s="35" t="s">
        <v>48</v>
      </c>
      <c r="D186" s="35" t="s">
        <v>50</v>
      </c>
      <c r="E186" s="34" t="s">
        <v>338</v>
      </c>
      <c r="F186" s="35" t="s">
        <v>48</v>
      </c>
      <c r="G186" s="34" t="s">
        <v>339</v>
      </c>
      <c r="H186" s="34" t="s">
        <v>48</v>
      </c>
      <c r="I186" s="35" t="n">
        <v>5.0</v>
      </c>
      <c r="J186" s="35"/>
      <c r="K186" s="37" t="n">
        <v>0.5</v>
      </c>
    </row>
    <row r="187">
      <c r="A187" s="35" t="s">
        <v>48</v>
      </c>
      <c r="B187" s="34" t="s">
        <v>48</v>
      </c>
      <c r="C187" s="35" t="s">
        <v>48</v>
      </c>
      <c r="D187" s="35" t="s">
        <v>50</v>
      </c>
      <c r="E187" s="34" t="s">
        <v>340</v>
      </c>
      <c r="F187" s="35" t="s">
        <v>48</v>
      </c>
      <c r="G187" s="34" t="s">
        <v>341</v>
      </c>
      <c r="H187" s="34" t="s">
        <v>48</v>
      </c>
      <c r="I187" s="35" t="n">
        <v>5.0</v>
      </c>
      <c r="J187" s="35"/>
      <c r="K187" s="37" t="n">
        <v>0.75</v>
      </c>
    </row>
    <row r="188">
      <c r="A188" s="35" t="s">
        <v>48</v>
      </c>
      <c r="B188" s="34" t="s">
        <v>48</v>
      </c>
      <c r="C188" s="35" t="s">
        <v>48</v>
      </c>
      <c r="D188" s="35" t="s">
        <v>50</v>
      </c>
      <c r="E188" s="34" t="s">
        <v>342</v>
      </c>
      <c r="F188" s="35" t="s">
        <v>48</v>
      </c>
      <c r="G188" s="34" t="s">
        <v>343</v>
      </c>
      <c r="H188" s="34" t="s">
        <v>48</v>
      </c>
      <c r="I188" s="35" t="n">
        <v>5.0</v>
      </c>
      <c r="J188" s="35"/>
      <c r="K188" s="37" t="n">
        <v>0.5</v>
      </c>
    </row>
    <row r="189">
      <c r="A189" s="35" t="s">
        <v>48</v>
      </c>
      <c r="B189" s="34" t="s">
        <v>48</v>
      </c>
      <c r="C189" s="35" t="s">
        <v>48</v>
      </c>
      <c r="D189" s="35" t="s">
        <v>50</v>
      </c>
      <c r="E189" s="34" t="s">
        <v>344</v>
      </c>
      <c r="F189" s="35" t="s">
        <v>48</v>
      </c>
      <c r="G189" s="34" t="s">
        <v>345</v>
      </c>
      <c r="H189" s="34" t="s">
        <v>48</v>
      </c>
      <c r="I189" s="35" t="n">
        <v>5.0</v>
      </c>
      <c r="J189" s="35"/>
      <c r="K189" s="37" t="n">
        <v>0.25</v>
      </c>
    </row>
    <row r="190">
      <c r="A190" s="35" t="s">
        <v>48</v>
      </c>
      <c r="B190" s="34" t="s">
        <v>48</v>
      </c>
      <c r="C190" s="35" t="s">
        <v>48</v>
      </c>
      <c r="D190" s="35" t="s">
        <v>50</v>
      </c>
      <c r="E190" s="34" t="s">
        <v>346</v>
      </c>
      <c r="F190" s="35" t="s">
        <v>48</v>
      </c>
      <c r="G190" s="34" t="s">
        <v>347</v>
      </c>
      <c r="H190" s="34" t="s">
        <v>48</v>
      </c>
      <c r="I190" s="35" t="n">
        <v>5.0</v>
      </c>
      <c r="J190" s="35"/>
      <c r="K190" s="37" t="n">
        <v>0.25</v>
      </c>
    </row>
    <row r="191">
      <c r="A191" s="35" t="s">
        <v>48</v>
      </c>
      <c r="B191" s="34" t="s">
        <v>48</v>
      </c>
      <c r="C191" s="35" t="s">
        <v>48</v>
      </c>
      <c r="D191" s="35" t="s">
        <v>50</v>
      </c>
      <c r="E191" s="34" t="s">
        <v>348</v>
      </c>
      <c r="F191" s="35" t="s">
        <v>48</v>
      </c>
      <c r="G191" s="34" t="s">
        <v>349</v>
      </c>
      <c r="H191" s="34" t="s">
        <v>48</v>
      </c>
      <c r="I191" s="35" t="n">
        <v>5.0</v>
      </c>
      <c r="J191" s="35"/>
      <c r="K191" s="37" t="n">
        <v>0.25</v>
      </c>
    </row>
    <row r="192">
      <c r="A192" s="35" t="s">
        <v>350</v>
      </c>
      <c r="B192" s="34" t="s">
        <v>351</v>
      </c>
      <c r="C192" s="35" t="s">
        <v>49</v>
      </c>
      <c r="D192" s="34" t="s">
        <v>48</v>
      </c>
      <c r="E192" s="34" t="s">
        <v>48</v>
      </c>
      <c r="F192" s="34" t="s">
        <v>48</v>
      </c>
      <c r="G192" s="34" t="s">
        <v>48</v>
      </c>
      <c r="H192" s="34" t="s">
        <v>48</v>
      </c>
      <c r="I192" s="34" t="s">
        <v>48</v>
      </c>
      <c r="J192" s="34" t="s">
        <v>48</v>
      </c>
      <c r="K192" s="34" t="s">
        <v>48</v>
      </c>
    </row>
    <row r="193">
      <c r="A193" s="35" t="s">
        <v>48</v>
      </c>
      <c r="B193" s="34" t="s">
        <v>48</v>
      </c>
      <c r="C193" s="35" t="s">
        <v>48</v>
      </c>
      <c r="D193" s="35" t="s">
        <v>50</v>
      </c>
      <c r="E193" s="34" t="s">
        <v>352</v>
      </c>
      <c r="F193" s="35" t="s">
        <v>48</v>
      </c>
      <c r="G193" s="34" t="s">
        <v>353</v>
      </c>
      <c r="H193" s="34" t="s">
        <v>48</v>
      </c>
      <c r="I193" s="35" t="n">
        <v>5.0</v>
      </c>
      <c r="J193" s="35"/>
      <c r="K193" s="37" t="n">
        <v>0.5</v>
      </c>
    </row>
    <row r="194">
      <c r="A194" s="35" t="s">
        <v>48</v>
      </c>
      <c r="B194" s="34" t="s">
        <v>48</v>
      </c>
      <c r="C194" s="35" t="s">
        <v>48</v>
      </c>
      <c r="D194" s="35" t="s">
        <v>50</v>
      </c>
      <c r="E194" s="34" t="s">
        <v>354</v>
      </c>
      <c r="F194" s="35" t="s">
        <v>48</v>
      </c>
      <c r="G194" s="34" t="s">
        <v>355</v>
      </c>
      <c r="H194" s="34" t="s">
        <v>48</v>
      </c>
      <c r="I194" s="35" t="n">
        <v>5.0</v>
      </c>
      <c r="J194" s="35"/>
      <c r="K194" s="37" t="n">
        <v>0.5</v>
      </c>
    </row>
    <row r="195">
      <c r="A195" s="35" t="s">
        <v>48</v>
      </c>
      <c r="B195" s="34" t="s">
        <v>48</v>
      </c>
      <c r="C195" s="35" t="s">
        <v>48</v>
      </c>
      <c r="D195" s="35" t="s">
        <v>50</v>
      </c>
      <c r="E195" s="34" t="s">
        <v>356</v>
      </c>
      <c r="F195" s="35" t="s">
        <v>48</v>
      </c>
      <c r="G195" s="34" t="s">
        <v>357</v>
      </c>
      <c r="H195" s="34" t="s">
        <v>48</v>
      </c>
      <c r="I195" s="35" t="n">
        <v>5.0</v>
      </c>
      <c r="J195" s="35"/>
      <c r="K195" s="37" t="n">
        <v>0.25</v>
      </c>
    </row>
    <row r="196">
      <c r="A196" s="35" t="s">
        <v>48</v>
      </c>
      <c r="B196" s="34" t="s">
        <v>48</v>
      </c>
      <c r="C196" s="35" t="s">
        <v>48</v>
      </c>
      <c r="D196" s="35" t="s">
        <v>50</v>
      </c>
      <c r="E196" s="34" t="s">
        <v>358</v>
      </c>
      <c r="F196" s="35" t="s">
        <v>48</v>
      </c>
      <c r="G196" s="34" t="s">
        <v>359</v>
      </c>
      <c r="H196" s="34" t="s">
        <v>48</v>
      </c>
      <c r="I196" s="35" t="n">
        <v>5.0</v>
      </c>
      <c r="J196" s="35"/>
      <c r="K196" s="37" t="n">
        <v>0.25</v>
      </c>
    </row>
    <row r="197">
      <c r="A197" s="35" t="s">
        <v>48</v>
      </c>
      <c r="B197" s="34" t="s">
        <v>48</v>
      </c>
      <c r="C197" s="35" t="s">
        <v>48</v>
      </c>
      <c r="D197" s="35" t="s">
        <v>50</v>
      </c>
      <c r="E197" s="34" t="s">
        <v>360</v>
      </c>
      <c r="F197" s="35" t="s">
        <v>48</v>
      </c>
      <c r="G197" s="34" t="s">
        <v>361</v>
      </c>
      <c r="H197" s="34" t="s">
        <v>48</v>
      </c>
      <c r="I197" s="35" t="n">
        <v>5.0</v>
      </c>
      <c r="J197" s="35"/>
      <c r="K197" s="37" t="n">
        <v>0.25</v>
      </c>
    </row>
    <row r="198">
      <c r="A198" s="35" t="s">
        <v>48</v>
      </c>
      <c r="B198" s="34" t="s">
        <v>48</v>
      </c>
      <c r="C198" s="35" t="s">
        <v>48</v>
      </c>
      <c r="D198" s="35" t="s">
        <v>50</v>
      </c>
      <c r="E198" s="34" t="s">
        <v>362</v>
      </c>
      <c r="F198" s="35" t="s">
        <v>48</v>
      </c>
      <c r="G198" s="34" t="s">
        <v>363</v>
      </c>
      <c r="H198" s="34" t="s">
        <v>48</v>
      </c>
      <c r="I198" s="35" t="n">
        <v>2.0</v>
      </c>
      <c r="J198" s="35"/>
      <c r="K198" s="37" t="n">
        <v>0.25</v>
      </c>
    </row>
    <row r="199">
      <c r="A199" s="35" t="s">
        <v>48</v>
      </c>
      <c r="B199" s="34" t="s">
        <v>48</v>
      </c>
      <c r="C199" s="35" t="s">
        <v>48</v>
      </c>
      <c r="D199" s="35" t="s">
        <v>50</v>
      </c>
      <c r="E199" s="34" t="s">
        <v>364</v>
      </c>
      <c r="F199" s="35" t="s">
        <v>48</v>
      </c>
      <c r="G199" s="34" t="s">
        <v>365</v>
      </c>
      <c r="H199" s="34" t="s">
        <v>48</v>
      </c>
      <c r="I199" s="35" t="n">
        <v>5.0</v>
      </c>
      <c r="J199" s="35"/>
      <c r="K199" s="37" t="n">
        <v>0.5</v>
      </c>
    </row>
    <row r="200">
      <c r="A200" s="35" t="s">
        <v>48</v>
      </c>
      <c r="B200" s="34" t="s">
        <v>48</v>
      </c>
      <c r="C200" s="35" t="s">
        <v>48</v>
      </c>
      <c r="D200" s="35" t="s">
        <v>48</v>
      </c>
      <c r="E200" s="34" t="s">
        <v>48</v>
      </c>
      <c r="F200" s="35" t="s">
        <v>48</v>
      </c>
      <c r="G200" s="34" t="s">
        <v>48</v>
      </c>
      <c r="H200" s="34" t="s">
        <v>48</v>
      </c>
      <c r="I200" s="35"/>
      <c r="J200" s="35"/>
      <c r="K200" s="37"/>
    </row>
    <row r="201">
      <c r="A201" s="35" t="s">
        <v>48</v>
      </c>
      <c r="B201" s="34" t="s">
        <v>48</v>
      </c>
      <c r="C201" s="35" t="s">
        <v>48</v>
      </c>
      <c r="D201" s="35" t="s">
        <v>48</v>
      </c>
      <c r="E201" s="34" t="s">
        <v>48</v>
      </c>
      <c r="F201" s="35" t="s">
        <v>48</v>
      </c>
      <c r="G201" s="34" t="s">
        <v>48</v>
      </c>
      <c r="H201" s="34" t="s">
        <v>48</v>
      </c>
      <c r="I201" s="35"/>
      <c r="J201" s="35"/>
      <c r="K201" s="37"/>
    </row>
    <row r="202">
      <c r="A202" s="72" t="s">
        <v>15</v>
      </c>
      <c r="B202" s="73" t="s">
        <v>16</v>
      </c>
      <c r="C202" s="74" t="s">
        <v>10</v>
      </c>
      <c r="D202" s="75" t="s">
        <v>6</v>
      </c>
      <c r="E202" s="76" t="s">
        <v>1</v>
      </c>
      <c r="F202" s="77" t="s">
        <v>2</v>
      </c>
      <c r="G202" s="78" t="s">
        <v>8</v>
      </c>
      <c r="H202" s="79" t="s">
        <v>9</v>
      </c>
      <c r="I202" s="80" t="s">
        <v>23</v>
      </c>
      <c r="J202" s="81" t="s">
        <v>11</v>
      </c>
      <c r="K202" s="82" t="s">
        <v>3</v>
      </c>
      <c r="L202" s="83" t="s">
        <v>366</v>
      </c>
      <c r="M202" s="84" t="s">
        <v>4</v>
      </c>
      <c r="N202" s="85">
        <f>SUM(K203:K274)</f>
      </c>
    </row>
    <row r="203">
      <c r="A203" s="35" t="s">
        <v>367</v>
      </c>
      <c r="B203" s="34" t="s">
        <v>156</v>
      </c>
      <c r="C203" s="35" t="s">
        <v>49</v>
      </c>
      <c r="D203" s="34" t="s">
        <v>48</v>
      </c>
      <c r="E203" s="34" t="s">
        <v>48</v>
      </c>
      <c r="F203" s="34" t="s">
        <v>48</v>
      </c>
      <c r="G203" s="34" t="s">
        <v>48</v>
      </c>
      <c r="H203" s="34" t="s">
        <v>48</v>
      </c>
      <c r="I203" s="34" t="s">
        <v>48</v>
      </c>
      <c r="J203" s="34" t="s">
        <v>48</v>
      </c>
      <c r="K203" s="34" t="s">
        <v>48</v>
      </c>
    </row>
    <row r="204">
      <c r="A204" s="35" t="s">
        <v>48</v>
      </c>
      <c r="B204" s="34" t="s">
        <v>48</v>
      </c>
      <c r="C204" s="35" t="s">
        <v>48</v>
      </c>
      <c r="D204" s="35" t="s">
        <v>50</v>
      </c>
      <c r="E204" s="34" t="s">
        <v>368</v>
      </c>
      <c r="F204" s="35" t="s">
        <v>48</v>
      </c>
      <c r="G204" s="34" t="s">
        <v>369</v>
      </c>
      <c r="H204" s="34" t="s">
        <v>48</v>
      </c>
      <c r="I204" s="35" t="n">
        <v>4.0</v>
      </c>
      <c r="J204" s="35"/>
      <c r="K204" s="37" t="n">
        <v>0.5</v>
      </c>
    </row>
    <row r="205">
      <c r="A205" s="35" t="s">
        <v>48</v>
      </c>
      <c r="B205" s="34" t="s">
        <v>48</v>
      </c>
      <c r="C205" s="35" t="s">
        <v>48</v>
      </c>
      <c r="D205" s="35" t="s">
        <v>50</v>
      </c>
      <c r="E205" s="34" t="s">
        <v>370</v>
      </c>
      <c r="F205" s="35" t="s">
        <v>48</v>
      </c>
      <c r="G205" s="34" t="s">
        <v>371</v>
      </c>
      <c r="H205" s="34" t="s">
        <v>48</v>
      </c>
      <c r="I205" s="35" t="n">
        <v>4.0</v>
      </c>
      <c r="J205" s="35"/>
      <c r="K205" s="37" t="n">
        <v>0.25</v>
      </c>
    </row>
    <row r="206">
      <c r="A206" s="35" t="s">
        <v>48</v>
      </c>
      <c r="B206" s="34" t="s">
        <v>48</v>
      </c>
      <c r="C206" s="35" t="s">
        <v>48</v>
      </c>
      <c r="D206" s="35" t="s">
        <v>50</v>
      </c>
      <c r="E206" s="34" t="s">
        <v>372</v>
      </c>
      <c r="F206" s="35" t="s">
        <v>48</v>
      </c>
      <c r="G206" s="34" t="s">
        <v>373</v>
      </c>
      <c r="H206" s="34" t="s">
        <v>48</v>
      </c>
      <c r="I206" s="35" t="n">
        <v>4.0</v>
      </c>
      <c r="J206" s="35"/>
      <c r="K206" s="37" t="n">
        <v>0.25</v>
      </c>
    </row>
    <row r="207">
      <c r="A207" s="35" t="s">
        <v>48</v>
      </c>
      <c r="B207" s="34" t="s">
        <v>48</v>
      </c>
      <c r="C207" s="35" t="s">
        <v>48</v>
      </c>
      <c r="D207" s="35" t="s">
        <v>50</v>
      </c>
      <c r="E207" s="34" t="s">
        <v>374</v>
      </c>
      <c r="F207" s="35" t="s">
        <v>48</v>
      </c>
      <c r="G207" s="34" t="s">
        <v>375</v>
      </c>
      <c r="H207" s="34" t="s">
        <v>48</v>
      </c>
      <c r="I207" s="35" t="n">
        <v>4.0</v>
      </c>
      <c r="J207" s="35"/>
      <c r="K207" s="37" t="n">
        <v>0.25</v>
      </c>
    </row>
    <row r="208">
      <c r="A208" s="35" t="s">
        <v>48</v>
      </c>
      <c r="B208" s="34" t="s">
        <v>48</v>
      </c>
      <c r="C208" s="35" t="s">
        <v>48</v>
      </c>
      <c r="D208" s="35" t="s">
        <v>50</v>
      </c>
      <c r="E208" s="34" t="s">
        <v>376</v>
      </c>
      <c r="F208" s="35" t="s">
        <v>48</v>
      </c>
      <c r="G208" s="34" t="s">
        <v>377</v>
      </c>
      <c r="H208" s="34" t="s">
        <v>48</v>
      </c>
      <c r="I208" s="35" t="n">
        <v>4.0</v>
      </c>
      <c r="J208" s="35"/>
      <c r="K208" s="37" t="n">
        <v>0.5</v>
      </c>
    </row>
    <row r="209">
      <c r="A209" s="35" t="s">
        <v>48</v>
      </c>
      <c r="B209" s="34" t="s">
        <v>48</v>
      </c>
      <c r="C209" s="35" t="s">
        <v>48</v>
      </c>
      <c r="D209" s="35" t="s">
        <v>50</v>
      </c>
      <c r="E209" s="34" t="s">
        <v>378</v>
      </c>
      <c r="F209" s="35" t="s">
        <v>48</v>
      </c>
      <c r="G209" s="34" t="s">
        <v>379</v>
      </c>
      <c r="H209" s="34" t="s">
        <v>48</v>
      </c>
      <c r="I209" s="35" t="n">
        <v>2.0</v>
      </c>
      <c r="J209" s="35"/>
      <c r="K209" s="37" t="n">
        <v>0.25</v>
      </c>
    </row>
    <row r="210">
      <c r="A210" s="35" t="s">
        <v>380</v>
      </c>
      <c r="B210" s="34" t="s">
        <v>381</v>
      </c>
      <c r="C210" s="35" t="s">
        <v>49</v>
      </c>
      <c r="D210" s="34" t="s">
        <v>48</v>
      </c>
      <c r="E210" s="34" t="s">
        <v>48</v>
      </c>
      <c r="F210" s="34" t="s">
        <v>48</v>
      </c>
      <c r="G210" s="34" t="s">
        <v>48</v>
      </c>
      <c r="H210" s="34" t="s">
        <v>48</v>
      </c>
      <c r="I210" s="34" t="s">
        <v>48</v>
      </c>
      <c r="J210" s="34" t="s">
        <v>48</v>
      </c>
      <c r="K210" s="34" t="s">
        <v>48</v>
      </c>
    </row>
    <row r="211">
      <c r="A211" s="35" t="s">
        <v>48</v>
      </c>
      <c r="B211" s="34" t="s">
        <v>48</v>
      </c>
      <c r="C211" s="35" t="s">
        <v>48</v>
      </c>
      <c r="D211" s="35" t="s">
        <v>50</v>
      </c>
      <c r="E211" s="34" t="s">
        <v>382</v>
      </c>
      <c r="F211" s="35" t="s">
        <v>48</v>
      </c>
      <c r="G211" s="34" t="s">
        <v>383</v>
      </c>
      <c r="H211" s="34" t="s">
        <v>48</v>
      </c>
      <c r="I211" s="35" t="n">
        <v>4.0</v>
      </c>
      <c r="J211" s="35"/>
      <c r="K211" s="37" t="n">
        <v>0.5</v>
      </c>
    </row>
    <row r="212">
      <c r="A212" s="35" t="s">
        <v>48</v>
      </c>
      <c r="B212" s="34" t="s">
        <v>48</v>
      </c>
      <c r="C212" s="35" t="s">
        <v>48</v>
      </c>
      <c r="D212" s="35" t="s">
        <v>50</v>
      </c>
      <c r="E212" s="34" t="s">
        <v>384</v>
      </c>
      <c r="F212" s="35" t="s">
        <v>48</v>
      </c>
      <c r="G212" s="34" t="s">
        <v>385</v>
      </c>
      <c r="H212" s="34" t="s">
        <v>48</v>
      </c>
      <c r="I212" s="35" t="n">
        <v>4.0</v>
      </c>
      <c r="J212" s="35"/>
      <c r="K212" s="37" t="n">
        <v>0.5</v>
      </c>
    </row>
    <row r="213">
      <c r="A213" s="35" t="s">
        <v>48</v>
      </c>
      <c r="B213" s="34" t="s">
        <v>48</v>
      </c>
      <c r="C213" s="35" t="s">
        <v>48</v>
      </c>
      <c r="D213" s="35" t="s">
        <v>50</v>
      </c>
      <c r="E213" s="34" t="s">
        <v>386</v>
      </c>
      <c r="F213" s="35" t="s">
        <v>48</v>
      </c>
      <c r="G213" s="34" t="s">
        <v>387</v>
      </c>
      <c r="H213" s="34" t="s">
        <v>48</v>
      </c>
      <c r="I213" s="35" t="n">
        <v>4.0</v>
      </c>
      <c r="J213" s="35"/>
      <c r="K213" s="37" t="n">
        <v>0.5</v>
      </c>
    </row>
    <row r="214">
      <c r="A214" s="35" t="s">
        <v>48</v>
      </c>
      <c r="B214" s="34" t="s">
        <v>48</v>
      </c>
      <c r="C214" s="35" t="s">
        <v>48</v>
      </c>
      <c r="D214" s="35" t="s">
        <v>50</v>
      </c>
      <c r="E214" s="34" t="s">
        <v>388</v>
      </c>
      <c r="F214" s="35" t="s">
        <v>48</v>
      </c>
      <c r="G214" s="34" t="s">
        <v>389</v>
      </c>
      <c r="H214" s="34" t="s">
        <v>48</v>
      </c>
      <c r="I214" s="35" t="n">
        <v>4.0</v>
      </c>
      <c r="J214" s="35"/>
      <c r="K214" s="37" t="n">
        <v>0.25</v>
      </c>
    </row>
    <row r="215">
      <c r="A215" s="35" t="s">
        <v>48</v>
      </c>
      <c r="B215" s="34" t="s">
        <v>48</v>
      </c>
      <c r="C215" s="35" t="s">
        <v>48</v>
      </c>
      <c r="D215" s="35" t="s">
        <v>50</v>
      </c>
      <c r="E215" s="34" t="s">
        <v>390</v>
      </c>
      <c r="F215" s="35" t="s">
        <v>48</v>
      </c>
      <c r="G215" s="34" t="s">
        <v>391</v>
      </c>
      <c r="H215" s="34" t="s">
        <v>48</v>
      </c>
      <c r="I215" s="35" t="n">
        <v>4.0</v>
      </c>
      <c r="J215" s="35"/>
      <c r="K215" s="37" t="n">
        <v>0.25</v>
      </c>
    </row>
    <row r="216">
      <c r="A216" s="35" t="s">
        <v>392</v>
      </c>
      <c r="B216" s="34" t="s">
        <v>393</v>
      </c>
      <c r="C216" s="35" t="s">
        <v>49</v>
      </c>
      <c r="D216" s="34" t="s">
        <v>48</v>
      </c>
      <c r="E216" s="34" t="s">
        <v>48</v>
      </c>
      <c r="F216" s="34" t="s">
        <v>48</v>
      </c>
      <c r="G216" s="34" t="s">
        <v>48</v>
      </c>
      <c r="H216" s="34" t="s">
        <v>48</v>
      </c>
      <c r="I216" s="34" t="s">
        <v>48</v>
      </c>
      <c r="J216" s="34" t="s">
        <v>48</v>
      </c>
      <c r="K216" s="34" t="s">
        <v>48</v>
      </c>
    </row>
    <row r="217">
      <c r="A217" s="35" t="s">
        <v>48</v>
      </c>
      <c r="B217" s="34" t="s">
        <v>48</v>
      </c>
      <c r="C217" s="35" t="s">
        <v>48</v>
      </c>
      <c r="D217" s="35" t="s">
        <v>50</v>
      </c>
      <c r="E217" s="34" t="s">
        <v>394</v>
      </c>
      <c r="F217" s="35" t="s">
        <v>48</v>
      </c>
      <c r="G217" s="34" t="s">
        <v>395</v>
      </c>
      <c r="H217" s="34" t="s">
        <v>48</v>
      </c>
      <c r="I217" s="35" t="n">
        <v>4.0</v>
      </c>
      <c r="J217" s="35"/>
      <c r="K217" s="37" t="n">
        <v>0.5</v>
      </c>
    </row>
    <row r="218">
      <c r="A218" s="35" t="s">
        <v>48</v>
      </c>
      <c r="B218" s="34" t="s">
        <v>48</v>
      </c>
      <c r="C218" s="35" t="s">
        <v>48</v>
      </c>
      <c r="D218" s="35" t="s">
        <v>50</v>
      </c>
      <c r="E218" s="34" t="s">
        <v>396</v>
      </c>
      <c r="F218" s="35" t="s">
        <v>48</v>
      </c>
      <c r="G218" s="34" t="s">
        <v>397</v>
      </c>
      <c r="H218" s="34" t="s">
        <v>48</v>
      </c>
      <c r="I218" s="35" t="n">
        <v>4.0</v>
      </c>
      <c r="J218" s="35"/>
      <c r="K218" s="37" t="n">
        <v>0.25</v>
      </c>
    </row>
    <row r="219">
      <c r="A219" s="35" t="s">
        <v>48</v>
      </c>
      <c r="B219" s="34" t="s">
        <v>48</v>
      </c>
      <c r="C219" s="35" t="s">
        <v>48</v>
      </c>
      <c r="D219" s="35" t="s">
        <v>50</v>
      </c>
      <c r="E219" s="34" t="s">
        <v>398</v>
      </c>
      <c r="F219" s="35" t="s">
        <v>48</v>
      </c>
      <c r="G219" s="34" t="s">
        <v>399</v>
      </c>
      <c r="H219" s="34" t="s">
        <v>48</v>
      </c>
      <c r="I219" s="35" t="n">
        <v>4.0</v>
      </c>
      <c r="J219" s="35"/>
      <c r="K219" s="37" t="n">
        <v>0.25</v>
      </c>
    </row>
    <row r="220">
      <c r="A220" s="35" t="s">
        <v>48</v>
      </c>
      <c r="B220" s="34" t="s">
        <v>48</v>
      </c>
      <c r="C220" s="35" t="s">
        <v>48</v>
      </c>
      <c r="D220" s="35" t="s">
        <v>50</v>
      </c>
      <c r="E220" s="34" t="s">
        <v>400</v>
      </c>
      <c r="F220" s="35" t="s">
        <v>48</v>
      </c>
      <c r="G220" s="34" t="s">
        <v>401</v>
      </c>
      <c r="H220" s="34" t="s">
        <v>48</v>
      </c>
      <c r="I220" s="35" t="n">
        <v>4.0</v>
      </c>
      <c r="J220" s="35"/>
      <c r="K220" s="37" t="n">
        <v>0.25</v>
      </c>
    </row>
    <row r="221">
      <c r="A221" s="35" t="s">
        <v>48</v>
      </c>
      <c r="B221" s="34" t="s">
        <v>48</v>
      </c>
      <c r="C221" s="35" t="s">
        <v>48</v>
      </c>
      <c r="D221" s="35" t="s">
        <v>50</v>
      </c>
      <c r="E221" s="34" t="s">
        <v>402</v>
      </c>
      <c r="F221" s="35" t="s">
        <v>48</v>
      </c>
      <c r="G221" s="34" t="s">
        <v>403</v>
      </c>
      <c r="H221" s="34" t="s">
        <v>48</v>
      </c>
      <c r="I221" s="35" t="n">
        <v>4.0</v>
      </c>
      <c r="J221" s="35"/>
      <c r="K221" s="37" t="n">
        <v>0.25</v>
      </c>
    </row>
    <row r="222">
      <c r="A222" s="35" t="s">
        <v>48</v>
      </c>
      <c r="B222" s="34" t="s">
        <v>48</v>
      </c>
      <c r="C222" s="35" t="s">
        <v>48</v>
      </c>
      <c r="D222" s="35" t="s">
        <v>50</v>
      </c>
      <c r="E222" s="34" t="s">
        <v>404</v>
      </c>
      <c r="F222" s="35" t="s">
        <v>48</v>
      </c>
      <c r="G222" s="34" t="s">
        <v>405</v>
      </c>
      <c r="H222" s="34" t="s">
        <v>48</v>
      </c>
      <c r="I222" s="35" t="n">
        <v>2.0</v>
      </c>
      <c r="J222" s="35"/>
      <c r="K222" s="37" t="n">
        <v>0.25</v>
      </c>
    </row>
    <row r="223">
      <c r="A223" s="35" t="s">
        <v>406</v>
      </c>
      <c r="B223" s="34" t="s">
        <v>407</v>
      </c>
      <c r="C223" s="35" t="s">
        <v>49</v>
      </c>
      <c r="D223" s="34" t="s">
        <v>48</v>
      </c>
      <c r="E223" s="34" t="s">
        <v>48</v>
      </c>
      <c r="F223" s="34" t="s">
        <v>48</v>
      </c>
      <c r="G223" s="34" t="s">
        <v>48</v>
      </c>
      <c r="H223" s="34" t="s">
        <v>48</v>
      </c>
      <c r="I223" s="34" t="s">
        <v>48</v>
      </c>
      <c r="J223" s="34" t="s">
        <v>48</v>
      </c>
      <c r="K223" s="34" t="s">
        <v>48</v>
      </c>
    </row>
    <row r="224">
      <c r="A224" s="35" t="s">
        <v>48</v>
      </c>
      <c r="B224" s="34" t="s">
        <v>48</v>
      </c>
      <c r="C224" s="35" t="s">
        <v>48</v>
      </c>
      <c r="D224" s="35" t="s">
        <v>50</v>
      </c>
      <c r="E224" s="34" t="s">
        <v>408</v>
      </c>
      <c r="F224" s="35" t="s">
        <v>48</v>
      </c>
      <c r="G224" s="34" t="s">
        <v>409</v>
      </c>
      <c r="H224" s="34" t="s">
        <v>48</v>
      </c>
      <c r="I224" s="35" t="n">
        <v>4.0</v>
      </c>
      <c r="J224" s="35"/>
      <c r="K224" s="37" t="n">
        <v>0.25</v>
      </c>
    </row>
    <row r="225">
      <c r="A225" s="35" t="s">
        <v>48</v>
      </c>
      <c r="B225" s="34" t="s">
        <v>48</v>
      </c>
      <c r="C225" s="35" t="s">
        <v>48</v>
      </c>
      <c r="D225" s="35" t="s">
        <v>50</v>
      </c>
      <c r="E225" s="34" t="s">
        <v>410</v>
      </c>
      <c r="F225" s="35" t="s">
        <v>48</v>
      </c>
      <c r="G225" s="34" t="s">
        <v>411</v>
      </c>
      <c r="H225" s="34" t="s">
        <v>48</v>
      </c>
      <c r="I225" s="35" t="n">
        <v>4.0</v>
      </c>
      <c r="J225" s="35"/>
      <c r="K225" s="37" t="n">
        <v>0.5</v>
      </c>
    </row>
    <row r="226">
      <c r="A226" s="35" t="s">
        <v>48</v>
      </c>
      <c r="B226" s="34" t="s">
        <v>48</v>
      </c>
      <c r="C226" s="35" t="s">
        <v>48</v>
      </c>
      <c r="D226" s="35" t="s">
        <v>50</v>
      </c>
      <c r="E226" s="34" t="s">
        <v>412</v>
      </c>
      <c r="F226" s="35" t="s">
        <v>48</v>
      </c>
      <c r="G226" s="34" t="s">
        <v>413</v>
      </c>
      <c r="H226" s="34" t="s">
        <v>48</v>
      </c>
      <c r="I226" s="35" t="n">
        <v>4.0</v>
      </c>
      <c r="J226" s="35"/>
      <c r="K226" s="37" t="n">
        <v>0.25</v>
      </c>
    </row>
    <row r="227">
      <c r="A227" s="35" t="s">
        <v>48</v>
      </c>
      <c r="B227" s="34" t="s">
        <v>48</v>
      </c>
      <c r="C227" s="35" t="s">
        <v>48</v>
      </c>
      <c r="D227" s="35" t="s">
        <v>50</v>
      </c>
      <c r="E227" s="34" t="s">
        <v>414</v>
      </c>
      <c r="F227" s="35" t="s">
        <v>48</v>
      </c>
      <c r="G227" s="34" t="s">
        <v>415</v>
      </c>
      <c r="H227" s="34" t="s">
        <v>48</v>
      </c>
      <c r="I227" s="35" t="n">
        <v>4.0</v>
      </c>
      <c r="J227" s="35"/>
      <c r="K227" s="37" t="n">
        <v>0.25</v>
      </c>
    </row>
    <row r="228">
      <c r="A228" s="35" t="s">
        <v>48</v>
      </c>
      <c r="B228" s="34" t="s">
        <v>48</v>
      </c>
      <c r="C228" s="35" t="s">
        <v>48</v>
      </c>
      <c r="D228" s="35" t="s">
        <v>50</v>
      </c>
      <c r="E228" s="34" t="s">
        <v>416</v>
      </c>
      <c r="F228" s="35" t="s">
        <v>48</v>
      </c>
      <c r="G228" s="34" t="s">
        <v>417</v>
      </c>
      <c r="H228" s="34" t="s">
        <v>48</v>
      </c>
      <c r="I228" s="35" t="n">
        <v>4.0</v>
      </c>
      <c r="J228" s="35"/>
      <c r="K228" s="37" t="n">
        <v>0.25</v>
      </c>
    </row>
    <row r="229">
      <c r="A229" s="35" t="s">
        <v>418</v>
      </c>
      <c r="B229" s="34" t="s">
        <v>419</v>
      </c>
      <c r="C229" s="35" t="s">
        <v>49</v>
      </c>
      <c r="D229" s="34" t="s">
        <v>48</v>
      </c>
      <c r="E229" s="34" t="s">
        <v>48</v>
      </c>
      <c r="F229" s="34" t="s">
        <v>48</v>
      </c>
      <c r="G229" s="34" t="s">
        <v>48</v>
      </c>
      <c r="H229" s="34" t="s">
        <v>48</v>
      </c>
      <c r="I229" s="34" t="s">
        <v>48</v>
      </c>
      <c r="J229" s="34" t="s">
        <v>48</v>
      </c>
      <c r="K229" s="34" t="s">
        <v>48</v>
      </c>
    </row>
    <row r="230">
      <c r="A230" s="35" t="s">
        <v>48</v>
      </c>
      <c r="B230" s="34" t="s">
        <v>48</v>
      </c>
      <c r="C230" s="35" t="s">
        <v>48</v>
      </c>
      <c r="D230" s="35" t="s">
        <v>50</v>
      </c>
      <c r="E230" s="34" t="s">
        <v>420</v>
      </c>
      <c r="F230" s="35" t="s">
        <v>48</v>
      </c>
      <c r="G230" s="34" t="s">
        <v>421</v>
      </c>
      <c r="H230" s="34" t="s">
        <v>48</v>
      </c>
      <c r="I230" s="35" t="n">
        <v>4.0</v>
      </c>
      <c r="J230" s="35"/>
      <c r="K230" s="37" t="n">
        <v>0.25</v>
      </c>
    </row>
    <row r="231">
      <c r="A231" s="35" t="s">
        <v>48</v>
      </c>
      <c r="B231" s="34" t="s">
        <v>48</v>
      </c>
      <c r="C231" s="35" t="s">
        <v>48</v>
      </c>
      <c r="D231" s="35" t="s">
        <v>50</v>
      </c>
      <c r="E231" s="34" t="s">
        <v>422</v>
      </c>
      <c r="F231" s="35" t="s">
        <v>48</v>
      </c>
      <c r="G231" s="34" t="s">
        <v>423</v>
      </c>
      <c r="H231" s="34" t="s">
        <v>48</v>
      </c>
      <c r="I231" s="35" t="n">
        <v>4.0</v>
      </c>
      <c r="J231" s="35"/>
      <c r="K231" s="37" t="n">
        <v>0.25</v>
      </c>
    </row>
    <row r="232">
      <c r="A232" s="35" t="s">
        <v>48</v>
      </c>
      <c r="B232" s="34" t="s">
        <v>48</v>
      </c>
      <c r="C232" s="35" t="s">
        <v>48</v>
      </c>
      <c r="D232" s="35" t="s">
        <v>50</v>
      </c>
      <c r="E232" s="34" t="s">
        <v>424</v>
      </c>
      <c r="F232" s="35" t="s">
        <v>48</v>
      </c>
      <c r="G232" s="34" t="s">
        <v>425</v>
      </c>
      <c r="H232" s="34" t="s">
        <v>48</v>
      </c>
      <c r="I232" s="35" t="n">
        <v>4.0</v>
      </c>
      <c r="J232" s="35"/>
      <c r="K232" s="37" t="n">
        <v>0.5</v>
      </c>
    </row>
    <row r="233">
      <c r="A233" s="35" t="s">
        <v>48</v>
      </c>
      <c r="B233" s="34" t="s">
        <v>48</v>
      </c>
      <c r="C233" s="35" t="s">
        <v>48</v>
      </c>
      <c r="D233" s="35" t="s">
        <v>50</v>
      </c>
      <c r="E233" s="34" t="s">
        <v>426</v>
      </c>
      <c r="F233" s="35" t="s">
        <v>48</v>
      </c>
      <c r="G233" s="34" t="s">
        <v>427</v>
      </c>
      <c r="H233" s="34" t="s">
        <v>48</v>
      </c>
      <c r="I233" s="35" t="n">
        <v>4.0</v>
      </c>
      <c r="J233" s="35"/>
      <c r="K233" s="37" t="n">
        <v>0.25</v>
      </c>
    </row>
    <row r="234">
      <c r="A234" s="35" t="s">
        <v>428</v>
      </c>
      <c r="B234" s="34" t="s">
        <v>429</v>
      </c>
      <c r="C234" s="35" t="s">
        <v>49</v>
      </c>
      <c r="D234" s="34" t="s">
        <v>48</v>
      </c>
      <c r="E234" s="34" t="s">
        <v>48</v>
      </c>
      <c r="F234" s="34" t="s">
        <v>48</v>
      </c>
      <c r="G234" s="34" t="s">
        <v>48</v>
      </c>
      <c r="H234" s="34" t="s">
        <v>48</v>
      </c>
      <c r="I234" s="34" t="s">
        <v>48</v>
      </c>
      <c r="J234" s="34" t="s">
        <v>48</v>
      </c>
      <c r="K234" s="34" t="s">
        <v>48</v>
      </c>
    </row>
    <row r="235">
      <c r="A235" s="35" t="s">
        <v>48</v>
      </c>
      <c r="B235" s="34" t="s">
        <v>48</v>
      </c>
      <c r="C235" s="35" t="s">
        <v>48</v>
      </c>
      <c r="D235" s="35" t="s">
        <v>50</v>
      </c>
      <c r="E235" s="34" t="s">
        <v>430</v>
      </c>
      <c r="F235" s="35" t="s">
        <v>48</v>
      </c>
      <c r="G235" s="34" t="s">
        <v>431</v>
      </c>
      <c r="H235" s="34" t="s">
        <v>48</v>
      </c>
      <c r="I235" s="35" t="n">
        <v>4.0</v>
      </c>
      <c r="J235" s="35"/>
      <c r="K235" s="37" t="n">
        <v>0.5</v>
      </c>
    </row>
    <row r="236">
      <c r="A236" s="35" t="s">
        <v>48</v>
      </c>
      <c r="B236" s="34" t="s">
        <v>48</v>
      </c>
      <c r="C236" s="35" t="s">
        <v>48</v>
      </c>
      <c r="D236" s="35" t="s">
        <v>50</v>
      </c>
      <c r="E236" s="34" t="s">
        <v>432</v>
      </c>
      <c r="F236" s="35" t="s">
        <v>48</v>
      </c>
      <c r="G236" s="34" t="s">
        <v>433</v>
      </c>
      <c r="H236" s="34" t="s">
        <v>48</v>
      </c>
      <c r="I236" s="35" t="n">
        <v>4.0</v>
      </c>
      <c r="J236" s="35"/>
      <c r="K236" s="37" t="n">
        <v>0.5</v>
      </c>
    </row>
    <row r="237">
      <c r="A237" s="35" t="s">
        <v>48</v>
      </c>
      <c r="B237" s="34" t="s">
        <v>48</v>
      </c>
      <c r="C237" s="35" t="s">
        <v>48</v>
      </c>
      <c r="D237" s="35" t="s">
        <v>50</v>
      </c>
      <c r="E237" s="34" t="s">
        <v>434</v>
      </c>
      <c r="F237" s="35" t="s">
        <v>48</v>
      </c>
      <c r="G237" s="34" t="s">
        <v>435</v>
      </c>
      <c r="H237" s="34" t="s">
        <v>48</v>
      </c>
      <c r="I237" s="35" t="n">
        <v>4.0</v>
      </c>
      <c r="J237" s="35"/>
      <c r="K237" s="37" t="n">
        <v>0.25</v>
      </c>
    </row>
    <row r="238">
      <c r="A238" s="35" t="s">
        <v>48</v>
      </c>
      <c r="B238" s="34" t="s">
        <v>48</v>
      </c>
      <c r="C238" s="35" t="s">
        <v>48</v>
      </c>
      <c r="D238" s="35" t="s">
        <v>50</v>
      </c>
      <c r="E238" s="34" t="s">
        <v>436</v>
      </c>
      <c r="F238" s="35" t="s">
        <v>48</v>
      </c>
      <c r="G238" s="34" t="s">
        <v>437</v>
      </c>
      <c r="H238" s="34" t="s">
        <v>48</v>
      </c>
      <c r="I238" s="35" t="n">
        <v>4.0</v>
      </c>
      <c r="J238" s="35"/>
      <c r="K238" s="37" t="n">
        <v>0.25</v>
      </c>
    </row>
    <row r="239">
      <c r="A239" s="35" t="s">
        <v>438</v>
      </c>
      <c r="B239" s="34" t="s">
        <v>439</v>
      </c>
      <c r="C239" s="35" t="s">
        <v>49</v>
      </c>
      <c r="D239" s="34" t="s">
        <v>48</v>
      </c>
      <c r="E239" s="34" t="s">
        <v>48</v>
      </c>
      <c r="F239" s="34" t="s">
        <v>48</v>
      </c>
      <c r="G239" s="34" t="s">
        <v>48</v>
      </c>
      <c r="H239" s="34" t="s">
        <v>48</v>
      </c>
      <c r="I239" s="34" t="s">
        <v>48</v>
      </c>
      <c r="J239" s="34" t="s">
        <v>48</v>
      </c>
      <c r="K239" s="34" t="s">
        <v>48</v>
      </c>
    </row>
    <row r="240">
      <c r="A240" s="35" t="s">
        <v>48</v>
      </c>
      <c r="B240" s="34" t="s">
        <v>48</v>
      </c>
      <c r="C240" s="35" t="s">
        <v>48</v>
      </c>
      <c r="D240" s="35" t="s">
        <v>50</v>
      </c>
      <c r="E240" s="34" t="s">
        <v>440</v>
      </c>
      <c r="F240" s="35" t="s">
        <v>48</v>
      </c>
      <c r="G240" s="34" t="s">
        <v>441</v>
      </c>
      <c r="H240" s="34" t="s">
        <v>48</v>
      </c>
      <c r="I240" s="35" t="n">
        <v>4.0</v>
      </c>
      <c r="J240" s="35"/>
      <c r="K240" s="37" t="n">
        <v>0.5</v>
      </c>
    </row>
    <row r="241">
      <c r="A241" s="35" t="s">
        <v>48</v>
      </c>
      <c r="B241" s="34" t="s">
        <v>48</v>
      </c>
      <c r="C241" s="35" t="s">
        <v>48</v>
      </c>
      <c r="D241" s="35" t="s">
        <v>50</v>
      </c>
      <c r="E241" s="34" t="s">
        <v>442</v>
      </c>
      <c r="F241" s="35" t="s">
        <v>48</v>
      </c>
      <c r="G241" s="34" t="s">
        <v>443</v>
      </c>
      <c r="H241" s="34" t="s">
        <v>48</v>
      </c>
      <c r="I241" s="35" t="n">
        <v>4.0</v>
      </c>
      <c r="J241" s="35"/>
      <c r="K241" s="37" t="n">
        <v>0.5</v>
      </c>
    </row>
    <row r="242">
      <c r="A242" s="35" t="s">
        <v>48</v>
      </c>
      <c r="B242" s="34" t="s">
        <v>48</v>
      </c>
      <c r="C242" s="35" t="s">
        <v>48</v>
      </c>
      <c r="D242" s="35" t="s">
        <v>50</v>
      </c>
      <c r="E242" s="34" t="s">
        <v>444</v>
      </c>
      <c r="F242" s="35" t="s">
        <v>48</v>
      </c>
      <c r="G242" s="34" t="s">
        <v>445</v>
      </c>
      <c r="H242" s="34" t="s">
        <v>48</v>
      </c>
      <c r="I242" s="35" t="n">
        <v>4.0</v>
      </c>
      <c r="J242" s="35"/>
      <c r="K242" s="37" t="n">
        <v>0.25</v>
      </c>
    </row>
    <row r="243">
      <c r="A243" s="35" t="s">
        <v>446</v>
      </c>
      <c r="B243" s="34" t="s">
        <v>447</v>
      </c>
      <c r="C243" s="35" t="s">
        <v>49</v>
      </c>
      <c r="D243" s="34" t="s">
        <v>48</v>
      </c>
      <c r="E243" s="34" t="s">
        <v>48</v>
      </c>
      <c r="F243" s="34" t="s">
        <v>48</v>
      </c>
      <c r="G243" s="34" t="s">
        <v>48</v>
      </c>
      <c r="H243" s="34" t="s">
        <v>48</v>
      </c>
      <c r="I243" s="34" t="s">
        <v>48</v>
      </c>
      <c r="J243" s="34" t="s">
        <v>48</v>
      </c>
      <c r="K243" s="34" t="s">
        <v>48</v>
      </c>
    </row>
    <row r="244">
      <c r="A244" s="35" t="s">
        <v>48</v>
      </c>
      <c r="B244" s="34" t="s">
        <v>48</v>
      </c>
      <c r="C244" s="35" t="s">
        <v>48</v>
      </c>
      <c r="D244" s="35" t="s">
        <v>50</v>
      </c>
      <c r="E244" s="34" t="s">
        <v>448</v>
      </c>
      <c r="F244" s="35" t="s">
        <v>48</v>
      </c>
      <c r="G244" s="34" t="s">
        <v>449</v>
      </c>
      <c r="H244" s="34" t="s">
        <v>48</v>
      </c>
      <c r="I244" s="35" t="n">
        <v>2.0</v>
      </c>
      <c r="J244" s="35"/>
      <c r="K244" s="37" t="n">
        <v>0.5</v>
      </c>
    </row>
    <row r="245">
      <c r="A245" s="35" t="s">
        <v>48</v>
      </c>
      <c r="B245" s="34" t="s">
        <v>48</v>
      </c>
      <c r="C245" s="35" t="s">
        <v>48</v>
      </c>
      <c r="D245" s="35" t="s">
        <v>50</v>
      </c>
      <c r="E245" s="34" t="s">
        <v>450</v>
      </c>
      <c r="F245" s="35" t="s">
        <v>48</v>
      </c>
      <c r="G245" s="34" t="s">
        <v>451</v>
      </c>
      <c r="H245" s="34" t="s">
        <v>48</v>
      </c>
      <c r="I245" s="35" t="n">
        <v>4.0</v>
      </c>
      <c r="J245" s="35"/>
      <c r="K245" s="37" t="n">
        <v>0.25</v>
      </c>
    </row>
    <row r="246">
      <c r="A246" s="35" t="s">
        <v>48</v>
      </c>
      <c r="B246" s="34" t="s">
        <v>48</v>
      </c>
      <c r="C246" s="35" t="s">
        <v>48</v>
      </c>
      <c r="D246" s="35" t="s">
        <v>50</v>
      </c>
      <c r="E246" s="34" t="s">
        <v>452</v>
      </c>
      <c r="F246" s="35" t="s">
        <v>48</v>
      </c>
      <c r="G246" s="34" t="s">
        <v>453</v>
      </c>
      <c r="H246" s="34" t="s">
        <v>48</v>
      </c>
      <c r="I246" s="35" t="n">
        <v>4.0</v>
      </c>
      <c r="J246" s="35"/>
      <c r="K246" s="37" t="n">
        <v>0.25</v>
      </c>
    </row>
    <row r="247">
      <c r="A247" s="35" t="s">
        <v>48</v>
      </c>
      <c r="B247" s="34" t="s">
        <v>48</v>
      </c>
      <c r="C247" s="35" t="s">
        <v>48</v>
      </c>
      <c r="D247" s="35" t="s">
        <v>50</v>
      </c>
      <c r="E247" s="34" t="s">
        <v>454</v>
      </c>
      <c r="F247" s="35" t="s">
        <v>48</v>
      </c>
      <c r="G247" s="34" t="s">
        <v>455</v>
      </c>
      <c r="H247" s="34" t="s">
        <v>48</v>
      </c>
      <c r="I247" s="35" t="n">
        <v>4.0</v>
      </c>
      <c r="J247" s="35"/>
      <c r="K247" s="37" t="n">
        <v>0.25</v>
      </c>
    </row>
    <row r="248">
      <c r="A248" s="35" t="s">
        <v>48</v>
      </c>
      <c r="B248" s="34" t="s">
        <v>48</v>
      </c>
      <c r="C248" s="35" t="s">
        <v>48</v>
      </c>
      <c r="D248" s="35" t="s">
        <v>61</v>
      </c>
      <c r="E248" s="34" t="s">
        <v>456</v>
      </c>
      <c r="F248" s="35" t="s">
        <v>48</v>
      </c>
      <c r="G248" s="34" t="s">
        <v>48</v>
      </c>
      <c r="H248" s="34" t="s">
        <v>48</v>
      </c>
      <c r="I248" s="35" t="n">
        <v>2.0</v>
      </c>
      <c r="J248" s="35"/>
      <c r="K248" s="37" t="n">
        <v>0.5</v>
      </c>
    </row>
    <row r="249">
      <c r="A249" s="35" t="s">
        <v>48</v>
      </c>
      <c r="B249" s="34" t="s">
        <v>48</v>
      </c>
      <c r="C249" s="35" t="s">
        <v>48</v>
      </c>
      <c r="D249" s="35" t="s">
        <v>48</v>
      </c>
      <c r="E249" s="34" t="s">
        <v>48</v>
      </c>
      <c r="F249" s="35" t="n">
        <v>0.0</v>
      </c>
      <c r="G249" s="34" t="s">
        <v>457</v>
      </c>
      <c r="H249" s="34" t="s">
        <v>48</v>
      </c>
      <c r="I249" s="35"/>
      <c r="J249" s="35"/>
      <c r="K249" s="37"/>
    </row>
    <row r="250">
      <c r="A250" s="35" t="s">
        <v>48</v>
      </c>
      <c r="B250" s="34" t="s">
        <v>48</v>
      </c>
      <c r="C250" s="35" t="s">
        <v>48</v>
      </c>
      <c r="D250" s="35" t="s">
        <v>48</v>
      </c>
      <c r="E250" s="34" t="s">
        <v>48</v>
      </c>
      <c r="F250" s="35" t="n">
        <v>1.0</v>
      </c>
      <c r="G250" s="34" t="s">
        <v>458</v>
      </c>
      <c r="H250" s="34" t="s">
        <v>48</v>
      </c>
      <c r="I250" s="35"/>
      <c r="J250" s="35"/>
      <c r="K250" s="37"/>
    </row>
    <row r="251">
      <c r="A251" s="35" t="s">
        <v>48</v>
      </c>
      <c r="B251" s="34" t="s">
        <v>48</v>
      </c>
      <c r="C251" s="35" t="s">
        <v>48</v>
      </c>
      <c r="D251" s="35" t="s">
        <v>48</v>
      </c>
      <c r="E251" s="34" t="s">
        <v>48</v>
      </c>
      <c r="F251" s="35" t="n">
        <v>2.0</v>
      </c>
      <c r="G251" s="34" t="s">
        <v>459</v>
      </c>
      <c r="H251" s="34" t="s">
        <v>48</v>
      </c>
      <c r="I251" s="35"/>
      <c r="J251" s="35"/>
      <c r="K251" s="37"/>
    </row>
    <row r="252">
      <c r="A252" s="35" t="s">
        <v>48</v>
      </c>
      <c r="B252" s="34" t="s">
        <v>48</v>
      </c>
      <c r="C252" s="35" t="s">
        <v>48</v>
      </c>
      <c r="D252" s="35" t="s">
        <v>48</v>
      </c>
      <c r="E252" s="34" t="s">
        <v>48</v>
      </c>
      <c r="F252" s="35" t="n">
        <v>3.0</v>
      </c>
      <c r="G252" s="34" t="s">
        <v>460</v>
      </c>
      <c r="H252" s="34" t="s">
        <v>48</v>
      </c>
      <c r="I252" s="35"/>
      <c r="J252" s="35"/>
      <c r="K252" s="37"/>
    </row>
    <row r="253">
      <c r="A253" s="35" t="s">
        <v>461</v>
      </c>
      <c r="B253" s="34" t="s">
        <v>462</v>
      </c>
      <c r="C253" s="35" t="s">
        <v>49</v>
      </c>
      <c r="D253" s="34" t="s">
        <v>48</v>
      </c>
      <c r="E253" s="34" t="s">
        <v>48</v>
      </c>
      <c r="F253" s="34" t="s">
        <v>48</v>
      </c>
      <c r="G253" s="34" t="s">
        <v>48</v>
      </c>
      <c r="H253" s="34" t="s">
        <v>48</v>
      </c>
      <c r="I253" s="34" t="s">
        <v>48</v>
      </c>
      <c r="J253" s="34" t="s">
        <v>48</v>
      </c>
      <c r="K253" s="34" t="s">
        <v>48</v>
      </c>
    </row>
    <row r="254">
      <c r="A254" s="35" t="s">
        <v>48</v>
      </c>
      <c r="B254" s="34" t="s">
        <v>48</v>
      </c>
      <c r="C254" s="35" t="s">
        <v>48</v>
      </c>
      <c r="D254" s="35" t="s">
        <v>50</v>
      </c>
      <c r="E254" s="34" t="s">
        <v>463</v>
      </c>
      <c r="F254" s="35" t="s">
        <v>48</v>
      </c>
      <c r="G254" s="34" t="s">
        <v>464</v>
      </c>
      <c r="H254" s="34" t="s">
        <v>48</v>
      </c>
      <c r="I254" s="35" t="n">
        <v>1.0</v>
      </c>
      <c r="J254" s="35"/>
      <c r="K254" s="37" t="n">
        <v>0.5</v>
      </c>
    </row>
    <row r="255">
      <c r="A255" s="35" t="s">
        <v>48</v>
      </c>
      <c r="B255" s="34" t="s">
        <v>48</v>
      </c>
      <c r="C255" s="35" t="s">
        <v>48</v>
      </c>
      <c r="D255" s="35" t="s">
        <v>50</v>
      </c>
      <c r="E255" s="34" t="s">
        <v>465</v>
      </c>
      <c r="F255" s="35" t="s">
        <v>48</v>
      </c>
      <c r="G255" s="34" t="s">
        <v>466</v>
      </c>
      <c r="H255" s="34" t="s">
        <v>48</v>
      </c>
      <c r="I255" s="35" t="n">
        <v>4.0</v>
      </c>
      <c r="J255" s="35"/>
      <c r="K255" s="37" t="n">
        <v>0.5</v>
      </c>
    </row>
    <row r="256">
      <c r="A256" s="35" t="s">
        <v>48</v>
      </c>
      <c r="B256" s="34" t="s">
        <v>48</v>
      </c>
      <c r="C256" s="35" t="s">
        <v>48</v>
      </c>
      <c r="D256" s="35" t="s">
        <v>61</v>
      </c>
      <c r="E256" s="34" t="s">
        <v>467</v>
      </c>
      <c r="F256" s="35" t="s">
        <v>48</v>
      </c>
      <c r="G256" s="34" t="s">
        <v>48</v>
      </c>
      <c r="H256" s="34" t="s">
        <v>48</v>
      </c>
      <c r="I256" s="35" t="n">
        <v>1.0</v>
      </c>
      <c r="J256" s="35"/>
      <c r="K256" s="37" t="n">
        <v>0.5</v>
      </c>
    </row>
    <row r="257">
      <c r="A257" s="35" t="s">
        <v>48</v>
      </c>
      <c r="B257" s="34" t="s">
        <v>48</v>
      </c>
      <c r="C257" s="35" t="s">
        <v>48</v>
      </c>
      <c r="D257" s="35" t="s">
        <v>48</v>
      </c>
      <c r="E257" s="34" t="s">
        <v>48</v>
      </c>
      <c r="F257" s="35" t="n">
        <v>0.0</v>
      </c>
      <c r="G257" s="34" t="s">
        <v>468</v>
      </c>
      <c r="H257" s="34" t="s">
        <v>48</v>
      </c>
      <c r="I257" s="35"/>
      <c r="J257" s="35"/>
      <c r="K257" s="37"/>
    </row>
    <row r="258">
      <c r="A258" s="35" t="s">
        <v>48</v>
      </c>
      <c r="B258" s="34" t="s">
        <v>48</v>
      </c>
      <c r="C258" s="35" t="s">
        <v>48</v>
      </c>
      <c r="D258" s="35" t="s">
        <v>48</v>
      </c>
      <c r="E258" s="34" t="s">
        <v>48</v>
      </c>
      <c r="F258" s="35" t="n">
        <v>1.0</v>
      </c>
      <c r="G258" s="34" t="s">
        <v>469</v>
      </c>
      <c r="H258" s="34" t="s">
        <v>48</v>
      </c>
      <c r="I258" s="35"/>
      <c r="J258" s="35"/>
      <c r="K258" s="37"/>
    </row>
    <row r="259">
      <c r="A259" s="35" t="s">
        <v>48</v>
      </c>
      <c r="B259" s="34" t="s">
        <v>48</v>
      </c>
      <c r="C259" s="35" t="s">
        <v>48</v>
      </c>
      <c r="D259" s="35" t="s">
        <v>48</v>
      </c>
      <c r="E259" s="34" t="s">
        <v>48</v>
      </c>
      <c r="F259" s="35" t="n">
        <v>2.0</v>
      </c>
      <c r="G259" s="34" t="s">
        <v>470</v>
      </c>
      <c r="H259" s="34" t="s">
        <v>48</v>
      </c>
      <c r="I259" s="35"/>
      <c r="J259" s="35"/>
      <c r="K259" s="37"/>
    </row>
    <row r="260">
      <c r="A260" s="35" t="s">
        <v>48</v>
      </c>
      <c r="B260" s="34" t="s">
        <v>48</v>
      </c>
      <c r="C260" s="35" t="s">
        <v>48</v>
      </c>
      <c r="D260" s="35" t="s">
        <v>48</v>
      </c>
      <c r="E260" s="34" t="s">
        <v>48</v>
      </c>
      <c r="F260" s="35" t="n">
        <v>3.0</v>
      </c>
      <c r="G260" s="34" t="s">
        <v>471</v>
      </c>
      <c r="H260" s="34" t="s">
        <v>48</v>
      </c>
      <c r="I260" s="35"/>
      <c r="J260" s="35"/>
      <c r="K260" s="37"/>
    </row>
    <row r="261">
      <c r="A261" s="35" t="s">
        <v>472</v>
      </c>
      <c r="B261" s="34" t="s">
        <v>473</v>
      </c>
      <c r="C261" s="35" t="s">
        <v>49</v>
      </c>
      <c r="D261" s="34" t="s">
        <v>48</v>
      </c>
      <c r="E261" s="34" t="s">
        <v>48</v>
      </c>
      <c r="F261" s="34" t="s">
        <v>48</v>
      </c>
      <c r="G261" s="34" t="s">
        <v>48</v>
      </c>
      <c r="H261" s="34" t="s">
        <v>48</v>
      </c>
      <c r="I261" s="34" t="s">
        <v>48</v>
      </c>
      <c r="J261" s="34" t="s">
        <v>48</v>
      </c>
      <c r="K261" s="34" t="s">
        <v>48</v>
      </c>
    </row>
    <row r="262">
      <c r="A262" s="35" t="s">
        <v>48</v>
      </c>
      <c r="B262" s="34" t="s">
        <v>48</v>
      </c>
      <c r="C262" s="35" t="s">
        <v>48</v>
      </c>
      <c r="D262" s="35" t="s">
        <v>50</v>
      </c>
      <c r="E262" s="34" t="s">
        <v>474</v>
      </c>
      <c r="F262" s="35" t="s">
        <v>48</v>
      </c>
      <c r="G262" s="34" t="s">
        <v>475</v>
      </c>
      <c r="H262" s="34" t="s">
        <v>48</v>
      </c>
      <c r="I262" s="35" t="n">
        <v>3.0</v>
      </c>
      <c r="J262" s="35"/>
      <c r="K262" s="37" t="n">
        <v>0.25</v>
      </c>
    </row>
    <row r="263">
      <c r="A263" s="35" t="s">
        <v>48</v>
      </c>
      <c r="B263" s="34" t="s">
        <v>48</v>
      </c>
      <c r="C263" s="35" t="s">
        <v>48</v>
      </c>
      <c r="D263" s="35" t="s">
        <v>50</v>
      </c>
      <c r="E263" s="34" t="s">
        <v>476</v>
      </c>
      <c r="F263" s="35" t="s">
        <v>48</v>
      </c>
      <c r="G263" s="34" t="s">
        <v>477</v>
      </c>
      <c r="H263" s="34" t="s">
        <v>48</v>
      </c>
      <c r="I263" s="35" t="n">
        <v>3.0</v>
      </c>
      <c r="J263" s="35"/>
      <c r="K263" s="37" t="n">
        <v>0.25</v>
      </c>
    </row>
    <row r="264">
      <c r="A264" s="35" t="s">
        <v>48</v>
      </c>
      <c r="B264" s="34" t="s">
        <v>48</v>
      </c>
      <c r="C264" s="35" t="s">
        <v>48</v>
      </c>
      <c r="D264" s="35" t="s">
        <v>50</v>
      </c>
      <c r="E264" s="34" t="s">
        <v>478</v>
      </c>
      <c r="F264" s="35" t="s">
        <v>48</v>
      </c>
      <c r="G264" s="34" t="s">
        <v>479</v>
      </c>
      <c r="H264" s="34" t="s">
        <v>48</v>
      </c>
      <c r="I264" s="35" t="n">
        <v>3.0</v>
      </c>
      <c r="J264" s="35"/>
      <c r="K264" s="37" t="n">
        <v>0.25</v>
      </c>
    </row>
    <row r="265">
      <c r="A265" s="35" t="s">
        <v>48</v>
      </c>
      <c r="B265" s="34" t="s">
        <v>48</v>
      </c>
      <c r="C265" s="35" t="s">
        <v>48</v>
      </c>
      <c r="D265" s="35" t="s">
        <v>50</v>
      </c>
      <c r="E265" s="34" t="s">
        <v>480</v>
      </c>
      <c r="F265" s="35" t="s">
        <v>48</v>
      </c>
      <c r="G265" s="34" t="s">
        <v>481</v>
      </c>
      <c r="H265" s="34" t="s">
        <v>48</v>
      </c>
      <c r="I265" s="35" t="n">
        <v>3.0</v>
      </c>
      <c r="J265" s="35"/>
      <c r="K265" s="37" t="n">
        <v>0.5</v>
      </c>
    </row>
    <row r="266">
      <c r="A266" s="35" t="s">
        <v>48</v>
      </c>
      <c r="B266" s="34" t="s">
        <v>48</v>
      </c>
      <c r="C266" s="35" t="s">
        <v>48</v>
      </c>
      <c r="D266" s="35" t="s">
        <v>50</v>
      </c>
      <c r="E266" s="34" t="s">
        <v>482</v>
      </c>
      <c r="F266" s="35" t="s">
        <v>48</v>
      </c>
      <c r="G266" s="34" t="s">
        <v>483</v>
      </c>
      <c r="H266" s="34" t="s">
        <v>48</v>
      </c>
      <c r="I266" s="35" t="n">
        <v>3.0</v>
      </c>
      <c r="J266" s="35"/>
      <c r="K266" s="37" t="n">
        <v>0.5</v>
      </c>
    </row>
    <row r="267">
      <c r="A267" s="35" t="s">
        <v>48</v>
      </c>
      <c r="B267" s="34" t="s">
        <v>48</v>
      </c>
      <c r="C267" s="35" t="s">
        <v>48</v>
      </c>
      <c r="D267" s="35" t="s">
        <v>50</v>
      </c>
      <c r="E267" s="34" t="s">
        <v>484</v>
      </c>
      <c r="F267" s="35" t="s">
        <v>48</v>
      </c>
      <c r="G267" s="34" t="s">
        <v>485</v>
      </c>
      <c r="H267" s="34" t="s">
        <v>48</v>
      </c>
      <c r="I267" s="35" t="n">
        <v>3.0</v>
      </c>
      <c r="J267" s="35"/>
      <c r="K267" s="37" t="n">
        <v>0.25</v>
      </c>
    </row>
    <row r="268">
      <c r="A268" s="35" t="s">
        <v>48</v>
      </c>
      <c r="B268" s="34" t="s">
        <v>48</v>
      </c>
      <c r="C268" s="35" t="s">
        <v>48</v>
      </c>
      <c r="D268" s="35" t="s">
        <v>61</v>
      </c>
      <c r="E268" s="34" t="s">
        <v>486</v>
      </c>
      <c r="F268" s="35" t="s">
        <v>48</v>
      </c>
      <c r="G268" s="34" t="s">
        <v>48</v>
      </c>
      <c r="H268" s="34" t="s">
        <v>48</v>
      </c>
      <c r="I268" s="35" t="n">
        <v>3.0</v>
      </c>
      <c r="J268" s="35"/>
      <c r="K268" s="37" t="n">
        <v>0.5</v>
      </c>
    </row>
    <row r="269">
      <c r="A269" s="35" t="s">
        <v>48</v>
      </c>
      <c r="B269" s="34" t="s">
        <v>48</v>
      </c>
      <c r="C269" s="35" t="s">
        <v>48</v>
      </c>
      <c r="D269" s="35" t="s">
        <v>48</v>
      </c>
      <c r="E269" s="34" t="s">
        <v>48</v>
      </c>
      <c r="F269" s="35" t="n">
        <v>0.0</v>
      </c>
      <c r="G269" s="34" t="s">
        <v>487</v>
      </c>
      <c r="H269" s="34" t="s">
        <v>48</v>
      </c>
      <c r="I269" s="35"/>
      <c r="J269" s="35"/>
      <c r="K269" s="37"/>
    </row>
    <row r="270">
      <c r="A270" s="35" t="s">
        <v>48</v>
      </c>
      <c r="B270" s="34" t="s">
        <v>48</v>
      </c>
      <c r="C270" s="35" t="s">
        <v>48</v>
      </c>
      <c r="D270" s="35" t="s">
        <v>48</v>
      </c>
      <c r="E270" s="34" t="s">
        <v>48</v>
      </c>
      <c r="F270" s="35" t="n">
        <v>1.0</v>
      </c>
      <c r="G270" s="34" t="s">
        <v>488</v>
      </c>
      <c r="H270" s="34" t="s">
        <v>48</v>
      </c>
      <c r="I270" s="35"/>
      <c r="J270" s="35"/>
      <c r="K270" s="37"/>
    </row>
    <row r="271">
      <c r="A271" s="35" t="s">
        <v>48</v>
      </c>
      <c r="B271" s="34" t="s">
        <v>48</v>
      </c>
      <c r="C271" s="35" t="s">
        <v>48</v>
      </c>
      <c r="D271" s="35" t="s">
        <v>48</v>
      </c>
      <c r="E271" s="34" t="s">
        <v>48</v>
      </c>
      <c r="F271" s="35" t="n">
        <v>2.0</v>
      </c>
      <c r="G271" s="34" t="s">
        <v>489</v>
      </c>
      <c r="H271" s="34" t="s">
        <v>48</v>
      </c>
      <c r="I271" s="35"/>
      <c r="J271" s="35"/>
      <c r="K271" s="37"/>
    </row>
    <row r="272">
      <c r="A272" s="35" t="s">
        <v>48</v>
      </c>
      <c r="B272" s="34" t="s">
        <v>48</v>
      </c>
      <c r="C272" s="35" t="s">
        <v>48</v>
      </c>
      <c r="D272" s="35" t="s">
        <v>48</v>
      </c>
      <c r="E272" s="34" t="s">
        <v>48</v>
      </c>
      <c r="F272" s="35" t="n">
        <v>3.0</v>
      </c>
      <c r="G272" s="34" t="s">
        <v>490</v>
      </c>
      <c r="H272" s="34" t="s">
        <v>48</v>
      </c>
      <c r="I272" s="35"/>
      <c r="J272" s="35"/>
      <c r="K272" s="37"/>
    </row>
    <row r="273">
      <c r="A273" s="35" t="s">
        <v>48</v>
      </c>
      <c r="B273" s="34" t="s">
        <v>48</v>
      </c>
      <c r="C273" s="35" t="s">
        <v>48</v>
      </c>
      <c r="D273" s="35" t="s">
        <v>48</v>
      </c>
      <c r="E273" s="34" t="s">
        <v>48</v>
      </c>
      <c r="F273" s="35" t="s">
        <v>48</v>
      </c>
      <c r="G273" s="34" t="s">
        <v>48</v>
      </c>
      <c r="H273" s="34" t="s">
        <v>48</v>
      </c>
      <c r="I273" s="35"/>
      <c r="J273" s="35"/>
      <c r="K273" s="37"/>
    </row>
    <row r="274">
      <c r="A274" s="35" t="s">
        <v>48</v>
      </c>
      <c r="B274" s="34" t="s">
        <v>48</v>
      </c>
      <c r="C274" s="35" t="s">
        <v>48</v>
      </c>
      <c r="D274" s="35" t="s">
        <v>48</v>
      </c>
      <c r="E274" s="34" t="s">
        <v>48</v>
      </c>
      <c r="F274" s="35" t="s">
        <v>48</v>
      </c>
      <c r="G274" s="34" t="s">
        <v>48</v>
      </c>
      <c r="H274" s="34" t="s">
        <v>48</v>
      </c>
      <c r="I274" s="35"/>
      <c r="J274" s="35"/>
      <c r="K274" s="37"/>
    </row>
    <row r="275">
      <c r="A275" s="86" t="s">
        <v>15</v>
      </c>
      <c r="B275" s="87" t="s">
        <v>16</v>
      </c>
      <c r="C275" s="88" t="s">
        <v>10</v>
      </c>
      <c r="D275" s="89" t="s">
        <v>6</v>
      </c>
      <c r="E275" s="90" t="s">
        <v>1</v>
      </c>
      <c r="F275" s="91" t="s">
        <v>2</v>
      </c>
      <c r="G275" s="92" t="s">
        <v>8</v>
      </c>
      <c r="H275" s="93" t="s">
        <v>9</v>
      </c>
      <c r="I275" s="94" t="s">
        <v>23</v>
      </c>
      <c r="J275" s="95" t="s">
        <v>11</v>
      </c>
      <c r="K275" s="96" t="s">
        <v>3</v>
      </c>
      <c r="L275" s="97" t="s">
        <v>491</v>
      </c>
      <c r="M275" s="98" t="s">
        <v>4</v>
      </c>
      <c r="N275" s="99">
        <f>SUM(K276:K364)</f>
      </c>
    </row>
    <row r="276">
      <c r="A276" s="35" t="s">
        <v>492</v>
      </c>
      <c r="B276" s="34" t="s">
        <v>493</v>
      </c>
      <c r="C276" s="35" t="s">
        <v>49</v>
      </c>
      <c r="D276" s="34" t="s">
        <v>48</v>
      </c>
      <c r="E276" s="34" t="s">
        <v>48</v>
      </c>
      <c r="F276" s="34" t="s">
        <v>48</v>
      </c>
      <c r="G276" s="34" t="s">
        <v>48</v>
      </c>
      <c r="H276" s="34" t="s">
        <v>48</v>
      </c>
      <c r="I276" s="34" t="s">
        <v>48</v>
      </c>
      <c r="J276" s="34" t="s">
        <v>48</v>
      </c>
      <c r="K276" s="34" t="s">
        <v>48</v>
      </c>
    </row>
    <row r="277">
      <c r="A277" s="35" t="s">
        <v>48</v>
      </c>
      <c r="B277" s="34" t="s">
        <v>48</v>
      </c>
      <c r="C277" s="35" t="s">
        <v>48</v>
      </c>
      <c r="D277" s="35" t="s">
        <v>50</v>
      </c>
      <c r="E277" s="34" t="s">
        <v>494</v>
      </c>
      <c r="F277" s="35" t="s">
        <v>48</v>
      </c>
      <c r="G277" s="34" t="s">
        <v>495</v>
      </c>
      <c r="H277" s="34" t="s">
        <v>48</v>
      </c>
      <c r="I277" s="35" t="n">
        <v>4.0</v>
      </c>
      <c r="J277" s="35"/>
      <c r="K277" s="37" t="n">
        <v>0.5</v>
      </c>
    </row>
    <row r="278">
      <c r="A278" s="35" t="s">
        <v>48</v>
      </c>
      <c r="B278" s="34" t="s">
        <v>48</v>
      </c>
      <c r="C278" s="35" t="s">
        <v>48</v>
      </c>
      <c r="D278" s="35" t="s">
        <v>50</v>
      </c>
      <c r="E278" s="34" t="s">
        <v>496</v>
      </c>
      <c r="F278" s="35" t="s">
        <v>48</v>
      </c>
      <c r="G278" s="34" t="s">
        <v>497</v>
      </c>
      <c r="H278" s="34" t="s">
        <v>48</v>
      </c>
      <c r="I278" s="35" t="n">
        <v>3.0</v>
      </c>
      <c r="J278" s="35"/>
      <c r="K278" s="37" t="n">
        <v>0.15</v>
      </c>
    </row>
    <row r="279">
      <c r="A279" s="35" t="s">
        <v>48</v>
      </c>
      <c r="B279" s="34" t="s">
        <v>48</v>
      </c>
      <c r="C279" s="35" t="s">
        <v>48</v>
      </c>
      <c r="D279" s="35" t="s">
        <v>50</v>
      </c>
      <c r="E279" s="34" t="s">
        <v>498</v>
      </c>
      <c r="F279" s="35" t="s">
        <v>48</v>
      </c>
      <c r="G279" s="34" t="s">
        <v>499</v>
      </c>
      <c r="H279" s="34" t="s">
        <v>48</v>
      </c>
      <c r="I279" s="35" t="n">
        <v>4.0</v>
      </c>
      <c r="J279" s="35"/>
      <c r="K279" s="37" t="n">
        <v>0.15</v>
      </c>
    </row>
    <row r="280">
      <c r="A280" s="35" t="s">
        <v>48</v>
      </c>
      <c r="B280" s="34" t="s">
        <v>48</v>
      </c>
      <c r="C280" s="35" t="s">
        <v>48</v>
      </c>
      <c r="D280" s="35" t="s">
        <v>50</v>
      </c>
      <c r="E280" s="34" t="s">
        <v>500</v>
      </c>
      <c r="F280" s="35" t="s">
        <v>48</v>
      </c>
      <c r="G280" s="34" t="s">
        <v>501</v>
      </c>
      <c r="H280" s="34" t="s">
        <v>48</v>
      </c>
      <c r="I280" s="35" t="n">
        <v>4.0</v>
      </c>
      <c r="J280" s="35"/>
      <c r="K280" s="37" t="n">
        <v>0.15</v>
      </c>
    </row>
    <row r="281">
      <c r="A281" s="35" t="s">
        <v>48</v>
      </c>
      <c r="B281" s="34" t="s">
        <v>48</v>
      </c>
      <c r="C281" s="35" t="s">
        <v>48</v>
      </c>
      <c r="D281" s="35" t="s">
        <v>50</v>
      </c>
      <c r="E281" s="34" t="s">
        <v>502</v>
      </c>
      <c r="F281" s="35" t="s">
        <v>48</v>
      </c>
      <c r="G281" s="34" t="s">
        <v>503</v>
      </c>
      <c r="H281" s="34" t="s">
        <v>48</v>
      </c>
      <c r="I281" s="35" t="n">
        <v>4.0</v>
      </c>
      <c r="J281" s="35"/>
      <c r="K281" s="37" t="n">
        <v>0.15</v>
      </c>
    </row>
    <row r="282">
      <c r="A282" s="35" t="s">
        <v>48</v>
      </c>
      <c r="B282" s="34" t="s">
        <v>48</v>
      </c>
      <c r="C282" s="35" t="s">
        <v>48</v>
      </c>
      <c r="D282" s="35" t="s">
        <v>50</v>
      </c>
      <c r="E282" s="34" t="s">
        <v>504</v>
      </c>
      <c r="F282" s="35" t="s">
        <v>48</v>
      </c>
      <c r="G282" s="34" t="s">
        <v>505</v>
      </c>
      <c r="H282" s="34" t="s">
        <v>48</v>
      </c>
      <c r="I282" s="35" t="n">
        <v>4.0</v>
      </c>
      <c r="J282" s="35"/>
      <c r="K282" s="37" t="n">
        <v>0.15</v>
      </c>
    </row>
    <row r="283">
      <c r="A283" s="35" t="s">
        <v>48</v>
      </c>
      <c r="B283" s="34" t="s">
        <v>48</v>
      </c>
      <c r="C283" s="35" t="s">
        <v>48</v>
      </c>
      <c r="D283" s="35" t="s">
        <v>50</v>
      </c>
      <c r="E283" s="34" t="s">
        <v>506</v>
      </c>
      <c r="F283" s="35" t="s">
        <v>48</v>
      </c>
      <c r="G283" s="34" t="s">
        <v>507</v>
      </c>
      <c r="H283" s="34" t="s">
        <v>48</v>
      </c>
      <c r="I283" s="35" t="n">
        <v>4.0</v>
      </c>
      <c r="J283" s="35"/>
      <c r="K283" s="37" t="n">
        <v>0.1</v>
      </c>
    </row>
    <row r="284">
      <c r="A284" s="35" t="s">
        <v>48</v>
      </c>
      <c r="B284" s="34" t="s">
        <v>48</v>
      </c>
      <c r="C284" s="35" t="s">
        <v>48</v>
      </c>
      <c r="D284" s="35" t="s">
        <v>50</v>
      </c>
      <c r="E284" s="34" t="s">
        <v>508</v>
      </c>
      <c r="F284" s="35" t="s">
        <v>48</v>
      </c>
      <c r="G284" s="34" t="s">
        <v>509</v>
      </c>
      <c r="H284" s="34" t="s">
        <v>48</v>
      </c>
      <c r="I284" s="35" t="n">
        <v>4.0</v>
      </c>
      <c r="J284" s="35"/>
      <c r="K284" s="37" t="n">
        <v>0.25</v>
      </c>
    </row>
    <row r="285">
      <c r="A285" s="35" t="s">
        <v>510</v>
      </c>
      <c r="B285" s="34" t="s">
        <v>511</v>
      </c>
      <c r="C285" s="35" t="s">
        <v>49</v>
      </c>
      <c r="D285" s="34" t="s">
        <v>48</v>
      </c>
      <c r="E285" s="34" t="s">
        <v>48</v>
      </c>
      <c r="F285" s="34" t="s">
        <v>48</v>
      </c>
      <c r="G285" s="34" t="s">
        <v>48</v>
      </c>
      <c r="H285" s="34" t="s">
        <v>48</v>
      </c>
      <c r="I285" s="34" t="s">
        <v>48</v>
      </c>
      <c r="J285" s="34" t="s">
        <v>48</v>
      </c>
      <c r="K285" s="34" t="s">
        <v>48</v>
      </c>
    </row>
    <row r="286">
      <c r="A286" s="35" t="s">
        <v>48</v>
      </c>
      <c r="B286" s="34" t="s">
        <v>48</v>
      </c>
      <c r="C286" s="35" t="s">
        <v>48</v>
      </c>
      <c r="D286" s="35" t="s">
        <v>50</v>
      </c>
      <c r="E286" s="34" t="s">
        <v>512</v>
      </c>
      <c r="F286" s="35" t="s">
        <v>48</v>
      </c>
      <c r="G286" s="34" t="s">
        <v>513</v>
      </c>
      <c r="H286" s="34" t="s">
        <v>48</v>
      </c>
      <c r="I286" s="35" t="n">
        <v>4.0</v>
      </c>
      <c r="J286" s="35"/>
      <c r="K286" s="37" t="n">
        <v>0.25</v>
      </c>
    </row>
    <row r="287">
      <c r="A287" s="35" t="s">
        <v>48</v>
      </c>
      <c r="B287" s="34" t="s">
        <v>48</v>
      </c>
      <c r="C287" s="35" t="s">
        <v>48</v>
      </c>
      <c r="D287" s="35" t="s">
        <v>50</v>
      </c>
      <c r="E287" s="34" t="s">
        <v>514</v>
      </c>
      <c r="F287" s="35" t="s">
        <v>48</v>
      </c>
      <c r="G287" s="34" t="s">
        <v>515</v>
      </c>
      <c r="H287" s="34" t="s">
        <v>48</v>
      </c>
      <c r="I287" s="35" t="n">
        <v>4.0</v>
      </c>
      <c r="J287" s="35"/>
      <c r="K287" s="37" t="n">
        <v>0.15</v>
      </c>
    </row>
    <row r="288">
      <c r="A288" s="35" t="s">
        <v>48</v>
      </c>
      <c r="B288" s="34" t="s">
        <v>48</v>
      </c>
      <c r="C288" s="35" t="s">
        <v>48</v>
      </c>
      <c r="D288" s="35" t="s">
        <v>50</v>
      </c>
      <c r="E288" s="34" t="s">
        <v>516</v>
      </c>
      <c r="F288" s="35" t="s">
        <v>48</v>
      </c>
      <c r="G288" s="34" t="s">
        <v>517</v>
      </c>
      <c r="H288" s="34" t="s">
        <v>48</v>
      </c>
      <c r="I288" s="35" t="n">
        <v>4.0</v>
      </c>
      <c r="J288" s="35"/>
      <c r="K288" s="37" t="n">
        <v>0.5</v>
      </c>
    </row>
    <row r="289">
      <c r="A289" s="35" t="s">
        <v>48</v>
      </c>
      <c r="B289" s="34" t="s">
        <v>48</v>
      </c>
      <c r="C289" s="35" t="s">
        <v>48</v>
      </c>
      <c r="D289" s="35" t="s">
        <v>50</v>
      </c>
      <c r="E289" s="34" t="s">
        <v>518</v>
      </c>
      <c r="F289" s="35" t="s">
        <v>48</v>
      </c>
      <c r="G289" s="34" t="s">
        <v>519</v>
      </c>
      <c r="H289" s="34" t="s">
        <v>48</v>
      </c>
      <c r="I289" s="35" t="n">
        <v>4.0</v>
      </c>
      <c r="J289" s="35"/>
      <c r="K289" s="37" t="n">
        <v>0.5</v>
      </c>
    </row>
    <row r="290">
      <c r="A290" s="35" t="s">
        <v>48</v>
      </c>
      <c r="B290" s="34" t="s">
        <v>48</v>
      </c>
      <c r="C290" s="35" t="s">
        <v>48</v>
      </c>
      <c r="D290" s="35" t="s">
        <v>50</v>
      </c>
      <c r="E290" s="34" t="s">
        <v>520</v>
      </c>
      <c r="F290" s="35" t="s">
        <v>48</v>
      </c>
      <c r="G290" s="34" t="s">
        <v>521</v>
      </c>
      <c r="H290" s="34" t="s">
        <v>48</v>
      </c>
      <c r="I290" s="35" t="n">
        <v>4.0</v>
      </c>
      <c r="J290" s="35"/>
      <c r="K290" s="37" t="n">
        <v>0.1</v>
      </c>
    </row>
    <row r="291">
      <c r="A291" s="35" t="s">
        <v>48</v>
      </c>
      <c r="B291" s="34" t="s">
        <v>48</v>
      </c>
      <c r="C291" s="35" t="s">
        <v>48</v>
      </c>
      <c r="D291" s="35" t="s">
        <v>50</v>
      </c>
      <c r="E291" s="34" t="s">
        <v>522</v>
      </c>
      <c r="F291" s="35" t="s">
        <v>48</v>
      </c>
      <c r="G291" s="34" t="s">
        <v>523</v>
      </c>
      <c r="H291" s="34" t="s">
        <v>48</v>
      </c>
      <c r="I291" s="35" t="n">
        <v>4.0</v>
      </c>
      <c r="J291" s="35"/>
      <c r="K291" s="37" t="n">
        <v>0.15</v>
      </c>
    </row>
    <row r="292">
      <c r="A292" s="35" t="s">
        <v>48</v>
      </c>
      <c r="B292" s="34" t="s">
        <v>48</v>
      </c>
      <c r="C292" s="35" t="s">
        <v>48</v>
      </c>
      <c r="D292" s="35" t="s">
        <v>50</v>
      </c>
      <c r="E292" s="34" t="s">
        <v>524</v>
      </c>
      <c r="F292" s="35" t="s">
        <v>48</v>
      </c>
      <c r="G292" s="34" t="s">
        <v>525</v>
      </c>
      <c r="H292" s="34" t="s">
        <v>48</v>
      </c>
      <c r="I292" s="35" t="n">
        <v>4.0</v>
      </c>
      <c r="J292" s="35"/>
      <c r="K292" s="37" t="n">
        <v>0.15</v>
      </c>
    </row>
    <row r="293">
      <c r="A293" s="35" t="s">
        <v>48</v>
      </c>
      <c r="B293" s="34" t="s">
        <v>48</v>
      </c>
      <c r="C293" s="35" t="s">
        <v>48</v>
      </c>
      <c r="D293" s="35" t="s">
        <v>50</v>
      </c>
      <c r="E293" s="34" t="s">
        <v>526</v>
      </c>
      <c r="F293" s="35" t="s">
        <v>48</v>
      </c>
      <c r="G293" s="34" t="s">
        <v>527</v>
      </c>
      <c r="H293" s="34" t="s">
        <v>48</v>
      </c>
      <c r="I293" s="35" t="n">
        <v>4.0</v>
      </c>
      <c r="J293" s="35"/>
      <c r="K293" s="37" t="n">
        <v>0.5</v>
      </c>
    </row>
    <row r="294">
      <c r="A294" s="35" t="s">
        <v>48</v>
      </c>
      <c r="B294" s="34" t="s">
        <v>48</v>
      </c>
      <c r="C294" s="35" t="s">
        <v>48</v>
      </c>
      <c r="D294" s="35" t="s">
        <v>50</v>
      </c>
      <c r="E294" s="34" t="s">
        <v>528</v>
      </c>
      <c r="F294" s="35" t="s">
        <v>48</v>
      </c>
      <c r="G294" s="34" t="s">
        <v>529</v>
      </c>
      <c r="H294" s="34" t="s">
        <v>48</v>
      </c>
      <c r="I294" s="35" t="n">
        <v>4.0</v>
      </c>
      <c r="J294" s="35"/>
      <c r="K294" s="37" t="n">
        <v>0.15</v>
      </c>
    </row>
    <row r="295">
      <c r="A295" s="35" t="s">
        <v>530</v>
      </c>
      <c r="B295" s="34" t="s">
        <v>531</v>
      </c>
      <c r="C295" s="35" t="s">
        <v>49</v>
      </c>
      <c r="D295" s="34" t="s">
        <v>48</v>
      </c>
      <c r="E295" s="34" t="s">
        <v>48</v>
      </c>
      <c r="F295" s="34" t="s">
        <v>48</v>
      </c>
      <c r="G295" s="34" t="s">
        <v>48</v>
      </c>
      <c r="H295" s="34" t="s">
        <v>48</v>
      </c>
      <c r="I295" s="34" t="s">
        <v>48</v>
      </c>
      <c r="J295" s="34" t="s">
        <v>48</v>
      </c>
      <c r="K295" s="34" t="s">
        <v>48</v>
      </c>
    </row>
    <row r="296">
      <c r="A296" s="35" t="s">
        <v>48</v>
      </c>
      <c r="B296" s="34" t="s">
        <v>48</v>
      </c>
      <c r="C296" s="35" t="s">
        <v>48</v>
      </c>
      <c r="D296" s="35" t="s">
        <v>50</v>
      </c>
      <c r="E296" s="34" t="s">
        <v>532</v>
      </c>
      <c r="F296" s="35" t="s">
        <v>48</v>
      </c>
      <c r="G296" s="34" t="s">
        <v>533</v>
      </c>
      <c r="H296" s="34" t="s">
        <v>48</v>
      </c>
      <c r="I296" s="35" t="n">
        <v>4.0</v>
      </c>
      <c r="J296" s="35"/>
      <c r="K296" s="37" t="n">
        <v>0.15</v>
      </c>
    </row>
    <row r="297">
      <c r="A297" s="35" t="s">
        <v>48</v>
      </c>
      <c r="B297" s="34" t="s">
        <v>48</v>
      </c>
      <c r="C297" s="35" t="s">
        <v>48</v>
      </c>
      <c r="D297" s="35" t="s">
        <v>50</v>
      </c>
      <c r="E297" s="34" t="s">
        <v>534</v>
      </c>
      <c r="F297" s="35" t="s">
        <v>48</v>
      </c>
      <c r="G297" s="34" t="s">
        <v>535</v>
      </c>
      <c r="H297" s="34" t="s">
        <v>48</v>
      </c>
      <c r="I297" s="35" t="n">
        <v>4.0</v>
      </c>
      <c r="J297" s="35"/>
      <c r="K297" s="37" t="n">
        <v>0.1</v>
      </c>
    </row>
    <row r="298">
      <c r="A298" s="35" t="s">
        <v>48</v>
      </c>
      <c r="B298" s="34" t="s">
        <v>48</v>
      </c>
      <c r="C298" s="35" t="s">
        <v>48</v>
      </c>
      <c r="D298" s="35" t="s">
        <v>50</v>
      </c>
      <c r="E298" s="34" t="s">
        <v>536</v>
      </c>
      <c r="F298" s="35" t="s">
        <v>48</v>
      </c>
      <c r="G298" s="34" t="s">
        <v>537</v>
      </c>
      <c r="H298" s="34" t="s">
        <v>48</v>
      </c>
      <c r="I298" s="35" t="n">
        <v>4.0</v>
      </c>
      <c r="J298" s="35"/>
      <c r="K298" s="37" t="n">
        <v>0.15</v>
      </c>
    </row>
    <row r="299">
      <c r="A299" s="35" t="s">
        <v>48</v>
      </c>
      <c r="B299" s="34" t="s">
        <v>48</v>
      </c>
      <c r="C299" s="35" t="s">
        <v>48</v>
      </c>
      <c r="D299" s="35" t="s">
        <v>50</v>
      </c>
      <c r="E299" s="34" t="s">
        <v>538</v>
      </c>
      <c r="F299" s="35" t="s">
        <v>48</v>
      </c>
      <c r="G299" s="34" t="s">
        <v>539</v>
      </c>
      <c r="H299" s="34" t="s">
        <v>48</v>
      </c>
      <c r="I299" s="35" t="n">
        <v>4.0</v>
      </c>
      <c r="J299" s="35"/>
      <c r="K299" s="37" t="n">
        <v>0.5</v>
      </c>
    </row>
    <row r="300">
      <c r="A300" s="35" t="s">
        <v>48</v>
      </c>
      <c r="B300" s="34" t="s">
        <v>48</v>
      </c>
      <c r="C300" s="35" t="s">
        <v>48</v>
      </c>
      <c r="D300" s="35" t="s">
        <v>50</v>
      </c>
      <c r="E300" s="34" t="s">
        <v>540</v>
      </c>
      <c r="F300" s="35" t="s">
        <v>48</v>
      </c>
      <c r="G300" s="34" t="s">
        <v>541</v>
      </c>
      <c r="H300" s="34" t="s">
        <v>48</v>
      </c>
      <c r="I300" s="35" t="n">
        <v>4.0</v>
      </c>
      <c r="J300" s="35"/>
      <c r="K300" s="37" t="n">
        <v>0.5</v>
      </c>
    </row>
    <row r="301">
      <c r="A301" s="35" t="s">
        <v>48</v>
      </c>
      <c r="B301" s="34" t="s">
        <v>48</v>
      </c>
      <c r="C301" s="35" t="s">
        <v>48</v>
      </c>
      <c r="D301" s="35" t="s">
        <v>50</v>
      </c>
      <c r="E301" s="34" t="s">
        <v>542</v>
      </c>
      <c r="F301" s="35" t="s">
        <v>48</v>
      </c>
      <c r="G301" s="34" t="s">
        <v>543</v>
      </c>
      <c r="H301" s="34" t="s">
        <v>48</v>
      </c>
      <c r="I301" s="35" t="n">
        <v>2.0</v>
      </c>
      <c r="J301" s="35"/>
      <c r="K301" s="37" t="n">
        <v>0.25</v>
      </c>
    </row>
    <row r="302">
      <c r="A302" s="35" t="s">
        <v>48</v>
      </c>
      <c r="B302" s="34" t="s">
        <v>48</v>
      </c>
      <c r="C302" s="35" t="s">
        <v>48</v>
      </c>
      <c r="D302" s="35" t="s">
        <v>50</v>
      </c>
      <c r="E302" s="34" t="s">
        <v>544</v>
      </c>
      <c r="F302" s="35" t="s">
        <v>48</v>
      </c>
      <c r="G302" s="34" t="s">
        <v>545</v>
      </c>
      <c r="H302" s="34" t="s">
        <v>48</v>
      </c>
      <c r="I302" s="35" t="n">
        <v>4.0</v>
      </c>
      <c r="J302" s="35"/>
      <c r="K302" s="37" t="n">
        <v>0.15</v>
      </c>
    </row>
    <row r="303">
      <c r="A303" s="35" t="s">
        <v>48</v>
      </c>
      <c r="B303" s="34" t="s">
        <v>48</v>
      </c>
      <c r="C303" s="35" t="s">
        <v>48</v>
      </c>
      <c r="D303" s="35" t="s">
        <v>50</v>
      </c>
      <c r="E303" s="34" t="s">
        <v>546</v>
      </c>
      <c r="F303" s="35" t="s">
        <v>48</v>
      </c>
      <c r="G303" s="34" t="s">
        <v>547</v>
      </c>
      <c r="H303" s="34" t="s">
        <v>48</v>
      </c>
      <c r="I303" s="35" t="n">
        <v>4.0</v>
      </c>
      <c r="J303" s="35"/>
      <c r="K303" s="37" t="n">
        <v>0.1</v>
      </c>
    </row>
    <row r="304">
      <c r="A304" s="35" t="s">
        <v>48</v>
      </c>
      <c r="B304" s="34" t="s">
        <v>48</v>
      </c>
      <c r="C304" s="35" t="s">
        <v>48</v>
      </c>
      <c r="D304" s="35" t="s">
        <v>50</v>
      </c>
      <c r="E304" s="34" t="s">
        <v>548</v>
      </c>
      <c r="F304" s="35" t="s">
        <v>48</v>
      </c>
      <c r="G304" s="34" t="s">
        <v>549</v>
      </c>
      <c r="H304" s="34" t="s">
        <v>48</v>
      </c>
      <c r="I304" s="35" t="n">
        <v>4.0</v>
      </c>
      <c r="J304" s="35"/>
      <c r="K304" s="37" t="n">
        <v>0.1</v>
      </c>
    </row>
    <row r="305">
      <c r="A305" s="35" t="s">
        <v>48</v>
      </c>
      <c r="B305" s="34" t="s">
        <v>48</v>
      </c>
      <c r="C305" s="35" t="s">
        <v>48</v>
      </c>
      <c r="D305" s="35" t="s">
        <v>50</v>
      </c>
      <c r="E305" s="34" t="s">
        <v>550</v>
      </c>
      <c r="F305" s="35" t="s">
        <v>48</v>
      </c>
      <c r="G305" s="34" t="s">
        <v>551</v>
      </c>
      <c r="H305" s="34" t="s">
        <v>48</v>
      </c>
      <c r="I305" s="35" t="n">
        <v>4.0</v>
      </c>
      <c r="J305" s="35"/>
      <c r="K305" s="37" t="n">
        <v>0.1</v>
      </c>
    </row>
    <row r="306">
      <c r="A306" s="35" t="s">
        <v>48</v>
      </c>
      <c r="B306" s="34" t="s">
        <v>48</v>
      </c>
      <c r="C306" s="35" t="s">
        <v>48</v>
      </c>
      <c r="D306" s="35" t="s">
        <v>50</v>
      </c>
      <c r="E306" s="34" t="s">
        <v>552</v>
      </c>
      <c r="F306" s="35" t="s">
        <v>48</v>
      </c>
      <c r="G306" s="34" t="s">
        <v>553</v>
      </c>
      <c r="H306" s="34" t="s">
        <v>48</v>
      </c>
      <c r="I306" s="35" t="n">
        <v>4.0</v>
      </c>
      <c r="J306" s="35"/>
      <c r="K306" s="37" t="n">
        <v>0.5</v>
      </c>
    </row>
    <row r="307">
      <c r="A307" s="35" t="s">
        <v>554</v>
      </c>
      <c r="B307" s="34" t="s">
        <v>555</v>
      </c>
      <c r="C307" s="35" t="s">
        <v>49</v>
      </c>
      <c r="D307" s="34" t="s">
        <v>48</v>
      </c>
      <c r="E307" s="34" t="s">
        <v>48</v>
      </c>
      <c r="F307" s="34" t="s">
        <v>48</v>
      </c>
      <c r="G307" s="34" t="s">
        <v>48</v>
      </c>
      <c r="H307" s="34" t="s">
        <v>48</v>
      </c>
      <c r="I307" s="34" t="s">
        <v>48</v>
      </c>
      <c r="J307" s="34" t="s">
        <v>48</v>
      </c>
      <c r="K307" s="34" t="s">
        <v>48</v>
      </c>
    </row>
    <row r="308">
      <c r="A308" s="35" t="s">
        <v>48</v>
      </c>
      <c r="B308" s="34" t="s">
        <v>48</v>
      </c>
      <c r="C308" s="35" t="s">
        <v>48</v>
      </c>
      <c r="D308" s="35" t="s">
        <v>50</v>
      </c>
      <c r="E308" s="34" t="s">
        <v>556</v>
      </c>
      <c r="F308" s="35" t="s">
        <v>48</v>
      </c>
      <c r="G308" s="34" t="s">
        <v>557</v>
      </c>
      <c r="H308" s="34" t="s">
        <v>48</v>
      </c>
      <c r="I308" s="35" t="n">
        <v>4.0</v>
      </c>
      <c r="J308" s="35"/>
      <c r="K308" s="37" t="n">
        <v>0.15</v>
      </c>
    </row>
    <row r="309">
      <c r="A309" s="35" t="s">
        <v>48</v>
      </c>
      <c r="B309" s="34" t="s">
        <v>48</v>
      </c>
      <c r="C309" s="35" t="s">
        <v>48</v>
      </c>
      <c r="D309" s="35" t="s">
        <v>50</v>
      </c>
      <c r="E309" s="34" t="s">
        <v>558</v>
      </c>
      <c r="F309" s="35" t="s">
        <v>48</v>
      </c>
      <c r="G309" s="34" t="s">
        <v>559</v>
      </c>
      <c r="H309" s="34" t="s">
        <v>48</v>
      </c>
      <c r="I309" s="35" t="n">
        <v>3.0</v>
      </c>
      <c r="J309" s="35"/>
      <c r="K309" s="37" t="n">
        <v>0.1</v>
      </c>
    </row>
    <row r="310">
      <c r="A310" s="35" t="s">
        <v>48</v>
      </c>
      <c r="B310" s="34" t="s">
        <v>48</v>
      </c>
      <c r="C310" s="35" t="s">
        <v>48</v>
      </c>
      <c r="D310" s="35" t="s">
        <v>50</v>
      </c>
      <c r="E310" s="34" t="s">
        <v>560</v>
      </c>
      <c r="F310" s="35" t="s">
        <v>48</v>
      </c>
      <c r="G310" s="34" t="s">
        <v>561</v>
      </c>
      <c r="H310" s="34" t="s">
        <v>48</v>
      </c>
      <c r="I310" s="35" t="n">
        <v>3.0</v>
      </c>
      <c r="J310" s="35"/>
      <c r="K310" s="37" t="n">
        <v>0.15</v>
      </c>
    </row>
    <row r="311">
      <c r="A311" s="35" t="s">
        <v>48</v>
      </c>
      <c r="B311" s="34" t="s">
        <v>48</v>
      </c>
      <c r="C311" s="35" t="s">
        <v>48</v>
      </c>
      <c r="D311" s="35" t="s">
        <v>50</v>
      </c>
      <c r="E311" s="34" t="s">
        <v>562</v>
      </c>
      <c r="F311" s="35" t="s">
        <v>48</v>
      </c>
      <c r="G311" s="34" t="s">
        <v>563</v>
      </c>
      <c r="H311" s="34" t="s">
        <v>48</v>
      </c>
      <c r="I311" s="35" t="n">
        <v>4.0</v>
      </c>
      <c r="J311" s="35"/>
      <c r="K311" s="37" t="n">
        <v>0.25</v>
      </c>
    </row>
    <row r="312">
      <c r="A312" s="35" t="s">
        <v>48</v>
      </c>
      <c r="B312" s="34" t="s">
        <v>48</v>
      </c>
      <c r="C312" s="35" t="s">
        <v>48</v>
      </c>
      <c r="D312" s="35" t="s">
        <v>50</v>
      </c>
      <c r="E312" s="34" t="s">
        <v>564</v>
      </c>
      <c r="F312" s="35" t="s">
        <v>48</v>
      </c>
      <c r="G312" s="34" t="s">
        <v>565</v>
      </c>
      <c r="H312" s="34" t="s">
        <v>48</v>
      </c>
      <c r="I312" s="35" t="n">
        <v>4.0</v>
      </c>
      <c r="J312" s="35"/>
      <c r="K312" s="37" t="n">
        <v>0.15</v>
      </c>
    </row>
    <row r="313">
      <c r="A313" s="35" t="s">
        <v>48</v>
      </c>
      <c r="B313" s="34" t="s">
        <v>48</v>
      </c>
      <c r="C313" s="35" t="s">
        <v>48</v>
      </c>
      <c r="D313" s="35" t="s">
        <v>50</v>
      </c>
      <c r="E313" s="34" t="s">
        <v>566</v>
      </c>
      <c r="F313" s="35" t="s">
        <v>48</v>
      </c>
      <c r="G313" s="34" t="s">
        <v>567</v>
      </c>
      <c r="H313" s="34" t="s">
        <v>48</v>
      </c>
      <c r="I313" s="35" t="n">
        <v>4.0</v>
      </c>
      <c r="J313" s="35"/>
      <c r="K313" s="37" t="n">
        <v>0.15</v>
      </c>
    </row>
    <row r="314">
      <c r="A314" s="35" t="s">
        <v>48</v>
      </c>
      <c r="B314" s="34" t="s">
        <v>48</v>
      </c>
      <c r="C314" s="35" t="s">
        <v>48</v>
      </c>
      <c r="D314" s="35" t="s">
        <v>50</v>
      </c>
      <c r="E314" s="34" t="s">
        <v>568</v>
      </c>
      <c r="F314" s="35" t="s">
        <v>48</v>
      </c>
      <c r="G314" s="34" t="s">
        <v>569</v>
      </c>
      <c r="H314" s="34" t="s">
        <v>48</v>
      </c>
      <c r="I314" s="35" t="n">
        <v>4.0</v>
      </c>
      <c r="J314" s="35"/>
      <c r="K314" s="37" t="n">
        <v>0.15</v>
      </c>
    </row>
    <row r="315">
      <c r="A315" s="35" t="s">
        <v>48</v>
      </c>
      <c r="B315" s="34" t="s">
        <v>48</v>
      </c>
      <c r="C315" s="35" t="s">
        <v>48</v>
      </c>
      <c r="D315" s="35" t="s">
        <v>50</v>
      </c>
      <c r="E315" s="34" t="s">
        <v>570</v>
      </c>
      <c r="F315" s="35" t="s">
        <v>48</v>
      </c>
      <c r="G315" s="34" t="s">
        <v>571</v>
      </c>
      <c r="H315" s="34" t="s">
        <v>48</v>
      </c>
      <c r="I315" s="35" t="n">
        <v>4.0</v>
      </c>
      <c r="J315" s="35"/>
      <c r="K315" s="37" t="n">
        <v>0.15</v>
      </c>
    </row>
    <row r="316">
      <c r="A316" s="35" t="s">
        <v>48</v>
      </c>
      <c r="B316" s="34" t="s">
        <v>48</v>
      </c>
      <c r="C316" s="35" t="s">
        <v>48</v>
      </c>
      <c r="D316" s="35" t="s">
        <v>50</v>
      </c>
      <c r="E316" s="34" t="s">
        <v>572</v>
      </c>
      <c r="F316" s="35" t="s">
        <v>48</v>
      </c>
      <c r="G316" s="34" t="s">
        <v>573</v>
      </c>
      <c r="H316" s="34" t="s">
        <v>48</v>
      </c>
      <c r="I316" s="35" t="n">
        <v>4.0</v>
      </c>
      <c r="J316" s="35"/>
      <c r="K316" s="37" t="n">
        <v>0.15</v>
      </c>
    </row>
    <row r="317">
      <c r="A317" s="35" t="s">
        <v>48</v>
      </c>
      <c r="B317" s="34" t="s">
        <v>48</v>
      </c>
      <c r="C317" s="35" t="s">
        <v>48</v>
      </c>
      <c r="D317" s="35" t="s">
        <v>50</v>
      </c>
      <c r="E317" s="34" t="s">
        <v>574</v>
      </c>
      <c r="F317" s="35" t="s">
        <v>48</v>
      </c>
      <c r="G317" s="34" t="s">
        <v>575</v>
      </c>
      <c r="H317" s="34" t="s">
        <v>48</v>
      </c>
      <c r="I317" s="35" t="n">
        <v>4.0</v>
      </c>
      <c r="J317" s="35"/>
      <c r="K317" s="37" t="n">
        <v>0.15</v>
      </c>
    </row>
    <row r="318">
      <c r="A318" s="35" t="s">
        <v>48</v>
      </c>
      <c r="B318" s="34" t="s">
        <v>48</v>
      </c>
      <c r="C318" s="35" t="s">
        <v>48</v>
      </c>
      <c r="D318" s="35" t="s">
        <v>50</v>
      </c>
      <c r="E318" s="34" t="s">
        <v>576</v>
      </c>
      <c r="F318" s="35" t="s">
        <v>48</v>
      </c>
      <c r="G318" s="34" t="s">
        <v>577</v>
      </c>
      <c r="H318" s="34" t="s">
        <v>48</v>
      </c>
      <c r="I318" s="35" t="n">
        <v>3.0</v>
      </c>
      <c r="J318" s="35"/>
      <c r="K318" s="37" t="n">
        <v>0.1</v>
      </c>
    </row>
    <row r="319">
      <c r="A319" s="35" t="s">
        <v>578</v>
      </c>
      <c r="B319" s="34" t="s">
        <v>579</v>
      </c>
      <c r="C319" s="35" t="s">
        <v>49</v>
      </c>
      <c r="D319" s="34" t="s">
        <v>48</v>
      </c>
      <c r="E319" s="34" t="s">
        <v>48</v>
      </c>
      <c r="F319" s="34" t="s">
        <v>48</v>
      </c>
      <c r="G319" s="34" t="s">
        <v>48</v>
      </c>
      <c r="H319" s="34" t="s">
        <v>48</v>
      </c>
      <c r="I319" s="34" t="s">
        <v>48</v>
      </c>
      <c r="J319" s="34" t="s">
        <v>48</v>
      </c>
      <c r="K319" s="34" t="s">
        <v>48</v>
      </c>
    </row>
    <row r="320">
      <c r="A320" s="35" t="s">
        <v>48</v>
      </c>
      <c r="B320" s="34" t="s">
        <v>48</v>
      </c>
      <c r="C320" s="35" t="s">
        <v>48</v>
      </c>
      <c r="D320" s="35" t="s">
        <v>50</v>
      </c>
      <c r="E320" s="34" t="s">
        <v>580</v>
      </c>
      <c r="F320" s="35" t="s">
        <v>48</v>
      </c>
      <c r="G320" s="34" t="s">
        <v>581</v>
      </c>
      <c r="H320" s="34" t="s">
        <v>48</v>
      </c>
      <c r="I320" s="35" t="n">
        <v>2.0</v>
      </c>
      <c r="J320" s="35"/>
      <c r="K320" s="37" t="n">
        <v>0.15</v>
      </c>
    </row>
    <row r="321">
      <c r="A321" s="35" t="s">
        <v>48</v>
      </c>
      <c r="B321" s="34" t="s">
        <v>48</v>
      </c>
      <c r="C321" s="35" t="s">
        <v>48</v>
      </c>
      <c r="D321" s="35" t="s">
        <v>50</v>
      </c>
      <c r="E321" s="34" t="s">
        <v>582</v>
      </c>
      <c r="F321" s="35" t="s">
        <v>48</v>
      </c>
      <c r="G321" s="34" t="s">
        <v>583</v>
      </c>
      <c r="H321" s="34" t="s">
        <v>48</v>
      </c>
      <c r="I321" s="35" t="n">
        <v>4.0</v>
      </c>
      <c r="J321" s="35"/>
      <c r="K321" s="37" t="n">
        <v>0.1</v>
      </c>
    </row>
    <row r="322">
      <c r="A322" s="35" t="s">
        <v>48</v>
      </c>
      <c r="B322" s="34" t="s">
        <v>48</v>
      </c>
      <c r="C322" s="35" t="s">
        <v>48</v>
      </c>
      <c r="D322" s="35" t="s">
        <v>50</v>
      </c>
      <c r="E322" s="34" t="s">
        <v>584</v>
      </c>
      <c r="F322" s="35" t="s">
        <v>48</v>
      </c>
      <c r="G322" s="34" t="s">
        <v>585</v>
      </c>
      <c r="H322" s="34" t="s">
        <v>48</v>
      </c>
      <c r="I322" s="35" t="n">
        <v>4.0</v>
      </c>
      <c r="J322" s="35"/>
      <c r="K322" s="37" t="n">
        <v>0.1</v>
      </c>
    </row>
    <row r="323">
      <c r="A323" s="35" t="s">
        <v>48</v>
      </c>
      <c r="B323" s="34" t="s">
        <v>48</v>
      </c>
      <c r="C323" s="35" t="s">
        <v>48</v>
      </c>
      <c r="D323" s="35" t="s">
        <v>50</v>
      </c>
      <c r="E323" s="34" t="s">
        <v>586</v>
      </c>
      <c r="F323" s="35" t="s">
        <v>48</v>
      </c>
      <c r="G323" s="34" t="s">
        <v>587</v>
      </c>
      <c r="H323" s="34" t="s">
        <v>48</v>
      </c>
      <c r="I323" s="35" t="n">
        <v>4.0</v>
      </c>
      <c r="J323" s="35"/>
      <c r="K323" s="37" t="n">
        <v>0.1</v>
      </c>
    </row>
    <row r="324">
      <c r="A324" s="35" t="s">
        <v>48</v>
      </c>
      <c r="B324" s="34" t="s">
        <v>48</v>
      </c>
      <c r="C324" s="35" t="s">
        <v>48</v>
      </c>
      <c r="D324" s="35" t="s">
        <v>50</v>
      </c>
      <c r="E324" s="34" t="s">
        <v>588</v>
      </c>
      <c r="F324" s="35" t="s">
        <v>48</v>
      </c>
      <c r="G324" s="34" t="s">
        <v>589</v>
      </c>
      <c r="H324" s="34" t="s">
        <v>48</v>
      </c>
      <c r="I324" s="35" t="n">
        <v>4.0</v>
      </c>
      <c r="J324" s="35"/>
      <c r="K324" s="37" t="n">
        <v>0.25</v>
      </c>
    </row>
    <row r="325">
      <c r="A325" s="35" t="s">
        <v>48</v>
      </c>
      <c r="B325" s="34" t="s">
        <v>48</v>
      </c>
      <c r="C325" s="35" t="s">
        <v>48</v>
      </c>
      <c r="D325" s="35" t="s">
        <v>50</v>
      </c>
      <c r="E325" s="34" t="s">
        <v>590</v>
      </c>
      <c r="F325" s="35" t="s">
        <v>48</v>
      </c>
      <c r="G325" s="34" t="s">
        <v>591</v>
      </c>
      <c r="H325" s="34" t="s">
        <v>48</v>
      </c>
      <c r="I325" s="35" t="n">
        <v>2.0</v>
      </c>
      <c r="J325" s="35"/>
      <c r="K325" s="37" t="n">
        <v>0.15</v>
      </c>
    </row>
    <row r="326">
      <c r="A326" s="35" t="s">
        <v>48</v>
      </c>
      <c r="B326" s="34" t="s">
        <v>48</v>
      </c>
      <c r="C326" s="35" t="s">
        <v>48</v>
      </c>
      <c r="D326" s="35" t="s">
        <v>50</v>
      </c>
      <c r="E326" s="34" t="s">
        <v>592</v>
      </c>
      <c r="F326" s="35" t="s">
        <v>48</v>
      </c>
      <c r="G326" s="34" t="s">
        <v>593</v>
      </c>
      <c r="H326" s="34" t="s">
        <v>48</v>
      </c>
      <c r="I326" s="35" t="n">
        <v>2.0</v>
      </c>
      <c r="J326" s="35"/>
      <c r="K326" s="37" t="n">
        <v>0.15</v>
      </c>
    </row>
    <row r="327">
      <c r="A327" s="35" t="s">
        <v>48</v>
      </c>
      <c r="B327" s="34" t="s">
        <v>48</v>
      </c>
      <c r="C327" s="35" t="s">
        <v>48</v>
      </c>
      <c r="D327" s="35" t="s">
        <v>50</v>
      </c>
      <c r="E327" s="34" t="s">
        <v>594</v>
      </c>
      <c r="F327" s="35" t="s">
        <v>48</v>
      </c>
      <c r="G327" s="34" t="s">
        <v>595</v>
      </c>
      <c r="H327" s="34" t="s">
        <v>48</v>
      </c>
      <c r="I327" s="35" t="n">
        <v>2.0</v>
      </c>
      <c r="J327" s="35"/>
      <c r="K327" s="37" t="n">
        <v>0.15</v>
      </c>
    </row>
    <row r="328">
      <c r="A328" s="35" t="s">
        <v>48</v>
      </c>
      <c r="B328" s="34" t="s">
        <v>48</v>
      </c>
      <c r="C328" s="35" t="s">
        <v>48</v>
      </c>
      <c r="D328" s="35" t="s">
        <v>50</v>
      </c>
      <c r="E328" s="34" t="s">
        <v>596</v>
      </c>
      <c r="F328" s="35" t="s">
        <v>48</v>
      </c>
      <c r="G328" s="34" t="s">
        <v>597</v>
      </c>
      <c r="H328" s="34" t="s">
        <v>48</v>
      </c>
      <c r="I328" s="35" t="n">
        <v>4.0</v>
      </c>
      <c r="J328" s="35"/>
      <c r="K328" s="37" t="n">
        <v>0.1</v>
      </c>
    </row>
    <row r="329">
      <c r="A329" s="35" t="s">
        <v>48</v>
      </c>
      <c r="B329" s="34" t="s">
        <v>48</v>
      </c>
      <c r="C329" s="35" t="s">
        <v>48</v>
      </c>
      <c r="D329" s="35" t="s">
        <v>50</v>
      </c>
      <c r="E329" s="34" t="s">
        <v>598</v>
      </c>
      <c r="F329" s="35" t="s">
        <v>48</v>
      </c>
      <c r="G329" s="34" t="s">
        <v>599</v>
      </c>
      <c r="H329" s="34" t="s">
        <v>48</v>
      </c>
      <c r="I329" s="35" t="n">
        <v>4.0</v>
      </c>
      <c r="J329" s="35"/>
      <c r="K329" s="37" t="n">
        <v>0.15</v>
      </c>
    </row>
    <row r="330">
      <c r="A330" s="35" t="s">
        <v>48</v>
      </c>
      <c r="B330" s="34" t="s">
        <v>48</v>
      </c>
      <c r="C330" s="35" t="s">
        <v>48</v>
      </c>
      <c r="D330" s="35" t="s">
        <v>50</v>
      </c>
      <c r="E330" s="34" t="s">
        <v>600</v>
      </c>
      <c r="F330" s="35" t="s">
        <v>48</v>
      </c>
      <c r="G330" s="34" t="s">
        <v>601</v>
      </c>
      <c r="H330" s="34" t="s">
        <v>48</v>
      </c>
      <c r="I330" s="35" t="n">
        <v>2.0</v>
      </c>
      <c r="J330" s="35"/>
      <c r="K330" s="37" t="n">
        <v>0.25</v>
      </c>
    </row>
    <row r="331">
      <c r="A331" s="35" t="s">
        <v>48</v>
      </c>
      <c r="B331" s="34" t="s">
        <v>48</v>
      </c>
      <c r="C331" s="35" t="s">
        <v>48</v>
      </c>
      <c r="D331" s="35" t="s">
        <v>50</v>
      </c>
      <c r="E331" s="34" t="s">
        <v>602</v>
      </c>
      <c r="F331" s="35" t="s">
        <v>48</v>
      </c>
      <c r="G331" s="34" t="s">
        <v>603</v>
      </c>
      <c r="H331" s="34" t="s">
        <v>48</v>
      </c>
      <c r="I331" s="35" t="n">
        <v>4.0</v>
      </c>
      <c r="J331" s="35"/>
      <c r="K331" s="37" t="n">
        <v>0.25</v>
      </c>
    </row>
    <row r="332">
      <c r="A332" s="35" t="s">
        <v>48</v>
      </c>
      <c r="B332" s="34" t="s">
        <v>48</v>
      </c>
      <c r="C332" s="35" t="s">
        <v>48</v>
      </c>
      <c r="D332" s="35" t="s">
        <v>50</v>
      </c>
      <c r="E332" s="34" t="s">
        <v>604</v>
      </c>
      <c r="F332" s="35" t="s">
        <v>48</v>
      </c>
      <c r="G332" s="34" t="s">
        <v>605</v>
      </c>
      <c r="H332" s="34" t="s">
        <v>48</v>
      </c>
      <c r="I332" s="35" t="n">
        <v>4.0</v>
      </c>
      <c r="J332" s="35"/>
      <c r="K332" s="37" t="n">
        <v>0.15</v>
      </c>
    </row>
    <row r="333">
      <c r="A333" s="35" t="s">
        <v>48</v>
      </c>
      <c r="B333" s="34" t="s">
        <v>48</v>
      </c>
      <c r="C333" s="35" t="s">
        <v>48</v>
      </c>
      <c r="D333" s="35" t="s">
        <v>50</v>
      </c>
      <c r="E333" s="34" t="s">
        <v>606</v>
      </c>
      <c r="F333" s="35" t="s">
        <v>48</v>
      </c>
      <c r="G333" s="34" t="s">
        <v>607</v>
      </c>
      <c r="H333" s="34" t="s">
        <v>48</v>
      </c>
      <c r="I333" s="35" t="n">
        <v>4.0</v>
      </c>
      <c r="J333" s="35"/>
      <c r="K333" s="37" t="n">
        <v>0.15</v>
      </c>
    </row>
    <row r="334">
      <c r="A334" s="35" t="s">
        <v>608</v>
      </c>
      <c r="B334" s="34" t="s">
        <v>609</v>
      </c>
      <c r="C334" s="35" t="s">
        <v>49</v>
      </c>
      <c r="D334" s="34" t="s">
        <v>48</v>
      </c>
      <c r="E334" s="34" t="s">
        <v>48</v>
      </c>
      <c r="F334" s="34" t="s">
        <v>48</v>
      </c>
      <c r="G334" s="34" t="s">
        <v>48</v>
      </c>
      <c r="H334" s="34" t="s">
        <v>48</v>
      </c>
      <c r="I334" s="34" t="s">
        <v>48</v>
      </c>
      <c r="J334" s="34" t="s">
        <v>48</v>
      </c>
      <c r="K334" s="34" t="s">
        <v>48</v>
      </c>
    </row>
    <row r="335">
      <c r="A335" s="35" t="s">
        <v>48</v>
      </c>
      <c r="B335" s="34" t="s">
        <v>48</v>
      </c>
      <c r="C335" s="35" t="s">
        <v>48</v>
      </c>
      <c r="D335" s="35" t="s">
        <v>50</v>
      </c>
      <c r="E335" s="34" t="s">
        <v>610</v>
      </c>
      <c r="F335" s="35" t="s">
        <v>48</v>
      </c>
      <c r="G335" s="34" t="s">
        <v>611</v>
      </c>
      <c r="H335" s="34" t="s">
        <v>48</v>
      </c>
      <c r="I335" s="35" t="n">
        <v>1.0</v>
      </c>
      <c r="J335" s="35"/>
      <c r="K335" s="37" t="n">
        <v>0.5</v>
      </c>
    </row>
    <row r="336">
      <c r="A336" s="35" t="s">
        <v>48</v>
      </c>
      <c r="B336" s="34" t="s">
        <v>48</v>
      </c>
      <c r="C336" s="35" t="s">
        <v>48</v>
      </c>
      <c r="D336" s="35" t="s">
        <v>50</v>
      </c>
      <c r="E336" s="34" t="s">
        <v>612</v>
      </c>
      <c r="F336" s="35" t="s">
        <v>48</v>
      </c>
      <c r="G336" s="34" t="s">
        <v>613</v>
      </c>
      <c r="H336" s="34" t="s">
        <v>48</v>
      </c>
      <c r="I336" s="35" t="n">
        <v>4.0</v>
      </c>
      <c r="J336" s="35"/>
      <c r="K336" s="37" t="n">
        <v>0.1</v>
      </c>
    </row>
    <row r="337">
      <c r="A337" s="35" t="s">
        <v>48</v>
      </c>
      <c r="B337" s="34" t="s">
        <v>48</v>
      </c>
      <c r="C337" s="35" t="s">
        <v>48</v>
      </c>
      <c r="D337" s="35" t="s">
        <v>50</v>
      </c>
      <c r="E337" s="34" t="s">
        <v>614</v>
      </c>
      <c r="F337" s="35" t="s">
        <v>48</v>
      </c>
      <c r="G337" s="34" t="s">
        <v>615</v>
      </c>
      <c r="H337" s="34" t="s">
        <v>48</v>
      </c>
      <c r="I337" s="35" t="n">
        <v>4.0</v>
      </c>
      <c r="J337" s="35"/>
      <c r="K337" s="37" t="n">
        <v>0.1</v>
      </c>
    </row>
    <row r="338">
      <c r="A338" s="35" t="s">
        <v>48</v>
      </c>
      <c r="B338" s="34" t="s">
        <v>48</v>
      </c>
      <c r="C338" s="35" t="s">
        <v>48</v>
      </c>
      <c r="D338" s="35" t="s">
        <v>50</v>
      </c>
      <c r="E338" s="34" t="s">
        <v>616</v>
      </c>
      <c r="F338" s="35" t="s">
        <v>48</v>
      </c>
      <c r="G338" s="34" t="s">
        <v>617</v>
      </c>
      <c r="H338" s="34" t="s">
        <v>48</v>
      </c>
      <c r="I338" s="35" t="n">
        <v>1.0</v>
      </c>
      <c r="J338" s="35"/>
      <c r="K338" s="37" t="n">
        <v>0.25</v>
      </c>
    </row>
    <row r="339">
      <c r="A339" s="35" t="s">
        <v>48</v>
      </c>
      <c r="B339" s="34" t="s">
        <v>48</v>
      </c>
      <c r="C339" s="35" t="s">
        <v>48</v>
      </c>
      <c r="D339" s="35" t="s">
        <v>50</v>
      </c>
      <c r="E339" s="34" t="s">
        <v>618</v>
      </c>
      <c r="F339" s="35" t="s">
        <v>48</v>
      </c>
      <c r="G339" s="34" t="s">
        <v>619</v>
      </c>
      <c r="H339" s="34" t="s">
        <v>48</v>
      </c>
      <c r="I339" s="35" t="n">
        <v>3.0</v>
      </c>
      <c r="J339" s="35"/>
      <c r="K339" s="37" t="n">
        <v>0.15</v>
      </c>
    </row>
    <row r="340">
      <c r="A340" s="35" t="s">
        <v>620</v>
      </c>
      <c r="B340" s="34" t="s">
        <v>621</v>
      </c>
      <c r="C340" s="35" t="s">
        <v>49</v>
      </c>
      <c r="D340" s="34" t="s">
        <v>48</v>
      </c>
      <c r="E340" s="34" t="s">
        <v>48</v>
      </c>
      <c r="F340" s="34" t="s">
        <v>48</v>
      </c>
      <c r="G340" s="34" t="s">
        <v>48</v>
      </c>
      <c r="H340" s="34" t="s">
        <v>48</v>
      </c>
      <c r="I340" s="34" t="s">
        <v>48</v>
      </c>
      <c r="J340" s="34" t="s">
        <v>48</v>
      </c>
      <c r="K340" s="34" t="s">
        <v>48</v>
      </c>
    </row>
    <row r="341">
      <c r="A341" s="35" t="s">
        <v>48</v>
      </c>
      <c r="B341" s="34" t="s">
        <v>48</v>
      </c>
      <c r="C341" s="35" t="s">
        <v>48</v>
      </c>
      <c r="D341" s="35" t="s">
        <v>50</v>
      </c>
      <c r="E341" s="34" t="s">
        <v>622</v>
      </c>
      <c r="F341" s="35" t="s">
        <v>48</v>
      </c>
      <c r="G341" s="34" t="s">
        <v>623</v>
      </c>
      <c r="H341" s="34" t="s">
        <v>48</v>
      </c>
      <c r="I341" s="35" t="n">
        <v>3.0</v>
      </c>
      <c r="J341" s="35"/>
      <c r="K341" s="37" t="n">
        <v>0.15</v>
      </c>
    </row>
    <row r="342">
      <c r="A342" s="35" t="s">
        <v>48</v>
      </c>
      <c r="B342" s="34" t="s">
        <v>48</v>
      </c>
      <c r="C342" s="35" t="s">
        <v>48</v>
      </c>
      <c r="D342" s="35" t="s">
        <v>50</v>
      </c>
      <c r="E342" s="34" t="s">
        <v>624</v>
      </c>
      <c r="F342" s="35" t="s">
        <v>48</v>
      </c>
      <c r="G342" s="34" t="s">
        <v>625</v>
      </c>
      <c r="H342" s="34" t="s">
        <v>48</v>
      </c>
      <c r="I342" s="35" t="n">
        <v>3.0</v>
      </c>
      <c r="J342" s="35"/>
      <c r="K342" s="37" t="n">
        <v>0.25</v>
      </c>
    </row>
    <row r="343">
      <c r="A343" s="35" t="s">
        <v>48</v>
      </c>
      <c r="B343" s="34" t="s">
        <v>48</v>
      </c>
      <c r="C343" s="35" t="s">
        <v>48</v>
      </c>
      <c r="D343" s="35" t="s">
        <v>61</v>
      </c>
      <c r="E343" s="34" t="s">
        <v>626</v>
      </c>
      <c r="F343" s="35" t="s">
        <v>48</v>
      </c>
      <c r="G343" s="34" t="s">
        <v>48</v>
      </c>
      <c r="H343" s="34" t="s">
        <v>48</v>
      </c>
      <c r="I343" s="35" t="n">
        <v>1.0</v>
      </c>
      <c r="J343" s="35"/>
      <c r="K343" s="37" t="n">
        <v>1.0</v>
      </c>
    </row>
    <row r="344">
      <c r="A344" s="35" t="s">
        <v>48</v>
      </c>
      <c r="B344" s="34" t="s">
        <v>48</v>
      </c>
      <c r="C344" s="35" t="s">
        <v>48</v>
      </c>
      <c r="D344" s="35" t="s">
        <v>48</v>
      </c>
      <c r="E344" s="34" t="s">
        <v>48</v>
      </c>
      <c r="F344" s="35" t="n">
        <v>0.0</v>
      </c>
      <c r="G344" s="34" t="s">
        <v>627</v>
      </c>
      <c r="H344" s="34" t="s">
        <v>48</v>
      </c>
      <c r="I344" s="35"/>
      <c r="J344" s="35"/>
      <c r="K344" s="37"/>
    </row>
    <row r="345">
      <c r="A345" s="35" t="s">
        <v>48</v>
      </c>
      <c r="B345" s="34" t="s">
        <v>48</v>
      </c>
      <c r="C345" s="35" t="s">
        <v>48</v>
      </c>
      <c r="D345" s="35" t="s">
        <v>48</v>
      </c>
      <c r="E345" s="34" t="s">
        <v>48</v>
      </c>
      <c r="F345" s="35" t="n">
        <v>1.0</v>
      </c>
      <c r="G345" s="34" t="s">
        <v>628</v>
      </c>
      <c r="H345" s="34" t="s">
        <v>48</v>
      </c>
      <c r="I345" s="35"/>
      <c r="J345" s="35"/>
      <c r="K345" s="37"/>
    </row>
    <row r="346">
      <c r="A346" s="35" t="s">
        <v>48</v>
      </c>
      <c r="B346" s="34" t="s">
        <v>48</v>
      </c>
      <c r="C346" s="35" t="s">
        <v>48</v>
      </c>
      <c r="D346" s="35" t="s">
        <v>48</v>
      </c>
      <c r="E346" s="34" t="s">
        <v>48</v>
      </c>
      <c r="F346" s="35" t="n">
        <v>2.0</v>
      </c>
      <c r="G346" s="34" t="s">
        <v>629</v>
      </c>
      <c r="H346" s="34" t="s">
        <v>48</v>
      </c>
      <c r="I346" s="35"/>
      <c r="J346" s="35"/>
      <c r="K346" s="37"/>
    </row>
    <row r="347">
      <c r="A347" s="35" t="s">
        <v>48</v>
      </c>
      <c r="B347" s="34" t="s">
        <v>48</v>
      </c>
      <c r="C347" s="35" t="s">
        <v>48</v>
      </c>
      <c r="D347" s="35" t="s">
        <v>48</v>
      </c>
      <c r="E347" s="34" t="s">
        <v>48</v>
      </c>
      <c r="F347" s="35" t="n">
        <v>3.0</v>
      </c>
      <c r="G347" s="34" t="s">
        <v>630</v>
      </c>
      <c r="H347" s="34" t="s">
        <v>48</v>
      </c>
      <c r="I347" s="35"/>
      <c r="J347" s="35"/>
      <c r="K347" s="37"/>
    </row>
    <row r="348">
      <c r="A348" s="35" t="s">
        <v>48</v>
      </c>
      <c r="B348" s="34" t="s">
        <v>48</v>
      </c>
      <c r="C348" s="35" t="s">
        <v>48</v>
      </c>
      <c r="D348" s="35" t="s">
        <v>61</v>
      </c>
      <c r="E348" s="34" t="s">
        <v>631</v>
      </c>
      <c r="F348" s="35" t="s">
        <v>48</v>
      </c>
      <c r="G348" s="34" t="s">
        <v>48</v>
      </c>
      <c r="H348" s="34" t="s">
        <v>48</v>
      </c>
      <c r="I348" s="35" t="n">
        <v>3.0</v>
      </c>
      <c r="J348" s="35"/>
      <c r="K348" s="37" t="n">
        <v>1.0</v>
      </c>
    </row>
    <row r="349">
      <c r="A349" s="35" t="s">
        <v>48</v>
      </c>
      <c r="B349" s="34" t="s">
        <v>48</v>
      </c>
      <c r="C349" s="35" t="s">
        <v>48</v>
      </c>
      <c r="D349" s="35" t="s">
        <v>48</v>
      </c>
      <c r="E349" s="34" t="s">
        <v>48</v>
      </c>
      <c r="F349" s="35" t="n">
        <v>0.0</v>
      </c>
      <c r="G349" s="34" t="s">
        <v>632</v>
      </c>
      <c r="H349" s="34" t="s">
        <v>48</v>
      </c>
      <c r="I349" s="35"/>
      <c r="J349" s="35"/>
      <c r="K349" s="37"/>
    </row>
    <row r="350">
      <c r="A350" s="35" t="s">
        <v>48</v>
      </c>
      <c r="B350" s="34" t="s">
        <v>48</v>
      </c>
      <c r="C350" s="35" t="s">
        <v>48</v>
      </c>
      <c r="D350" s="35" t="s">
        <v>48</v>
      </c>
      <c r="E350" s="34" t="s">
        <v>48</v>
      </c>
      <c r="F350" s="35" t="n">
        <v>1.0</v>
      </c>
      <c r="G350" s="34" t="s">
        <v>633</v>
      </c>
      <c r="H350" s="34" t="s">
        <v>48</v>
      </c>
      <c r="I350" s="35"/>
      <c r="J350" s="35"/>
      <c r="K350" s="37"/>
    </row>
    <row r="351">
      <c r="A351" s="35" t="s">
        <v>48</v>
      </c>
      <c r="B351" s="34" t="s">
        <v>48</v>
      </c>
      <c r="C351" s="35" t="s">
        <v>48</v>
      </c>
      <c r="D351" s="35" t="s">
        <v>48</v>
      </c>
      <c r="E351" s="34" t="s">
        <v>48</v>
      </c>
      <c r="F351" s="35" t="n">
        <v>2.0</v>
      </c>
      <c r="G351" s="34" t="s">
        <v>634</v>
      </c>
      <c r="H351" s="34" t="s">
        <v>48</v>
      </c>
      <c r="I351" s="35"/>
      <c r="J351" s="35"/>
      <c r="K351" s="37"/>
    </row>
    <row r="352">
      <c r="A352" s="35" t="s">
        <v>48</v>
      </c>
      <c r="B352" s="34" t="s">
        <v>48</v>
      </c>
      <c r="C352" s="35" t="s">
        <v>48</v>
      </c>
      <c r="D352" s="35" t="s">
        <v>48</v>
      </c>
      <c r="E352" s="34" t="s">
        <v>48</v>
      </c>
      <c r="F352" s="35" t="n">
        <v>3.0</v>
      </c>
      <c r="G352" s="34" t="s">
        <v>635</v>
      </c>
      <c r="H352" s="34" t="s">
        <v>48</v>
      </c>
      <c r="I352" s="35"/>
      <c r="J352" s="35"/>
      <c r="K352" s="37"/>
    </row>
    <row r="353">
      <c r="A353" s="35" t="s">
        <v>48</v>
      </c>
      <c r="B353" s="34" t="s">
        <v>48</v>
      </c>
      <c r="C353" s="35" t="s">
        <v>48</v>
      </c>
      <c r="D353" s="35" t="s">
        <v>61</v>
      </c>
      <c r="E353" s="34" t="s">
        <v>636</v>
      </c>
      <c r="F353" s="35" t="s">
        <v>48</v>
      </c>
      <c r="G353" s="34" t="s">
        <v>48</v>
      </c>
      <c r="H353" s="34" t="s">
        <v>48</v>
      </c>
      <c r="I353" s="35" t="n">
        <v>3.0</v>
      </c>
      <c r="J353" s="35"/>
      <c r="K353" s="37" t="n">
        <v>0.5</v>
      </c>
    </row>
    <row r="354">
      <c r="A354" s="35" t="s">
        <v>48</v>
      </c>
      <c r="B354" s="34" t="s">
        <v>48</v>
      </c>
      <c r="C354" s="35" t="s">
        <v>48</v>
      </c>
      <c r="D354" s="35" t="s">
        <v>48</v>
      </c>
      <c r="E354" s="34" t="s">
        <v>48</v>
      </c>
      <c r="F354" s="35" t="n">
        <v>0.0</v>
      </c>
      <c r="G354" s="34" t="s">
        <v>637</v>
      </c>
      <c r="H354" s="34" t="s">
        <v>48</v>
      </c>
      <c r="I354" s="35"/>
      <c r="J354" s="35"/>
      <c r="K354" s="37"/>
    </row>
    <row r="355">
      <c r="A355" s="35" t="s">
        <v>48</v>
      </c>
      <c r="B355" s="34" t="s">
        <v>48</v>
      </c>
      <c r="C355" s="35" t="s">
        <v>48</v>
      </c>
      <c r="D355" s="35" t="s">
        <v>48</v>
      </c>
      <c r="E355" s="34" t="s">
        <v>48</v>
      </c>
      <c r="F355" s="35" t="n">
        <v>1.0</v>
      </c>
      <c r="G355" s="34" t="s">
        <v>638</v>
      </c>
      <c r="H355" s="34" t="s">
        <v>48</v>
      </c>
      <c r="I355" s="35"/>
      <c r="J355" s="35"/>
      <c r="K355" s="37"/>
    </row>
    <row r="356">
      <c r="A356" s="35" t="s">
        <v>48</v>
      </c>
      <c r="B356" s="34" t="s">
        <v>48</v>
      </c>
      <c r="C356" s="35" t="s">
        <v>48</v>
      </c>
      <c r="D356" s="35" t="s">
        <v>48</v>
      </c>
      <c r="E356" s="34" t="s">
        <v>48</v>
      </c>
      <c r="F356" s="35" t="n">
        <v>2.0</v>
      </c>
      <c r="G356" s="34" t="s">
        <v>639</v>
      </c>
      <c r="H356" s="34" t="s">
        <v>48</v>
      </c>
      <c r="I356" s="35"/>
      <c r="J356" s="35"/>
      <c r="K356" s="37"/>
    </row>
    <row r="357">
      <c r="A357" s="35" t="s">
        <v>48</v>
      </c>
      <c r="B357" s="34" t="s">
        <v>48</v>
      </c>
      <c r="C357" s="35" t="s">
        <v>48</v>
      </c>
      <c r="D357" s="35" t="s">
        <v>48</v>
      </c>
      <c r="E357" s="34" t="s">
        <v>48</v>
      </c>
      <c r="F357" s="35" t="n">
        <v>3.0</v>
      </c>
      <c r="G357" s="34" t="s">
        <v>640</v>
      </c>
      <c r="H357" s="34" t="s">
        <v>48</v>
      </c>
      <c r="I357" s="35"/>
      <c r="J357" s="35"/>
      <c r="K357" s="37"/>
    </row>
    <row r="358">
      <c r="A358" s="35" t="s">
        <v>48</v>
      </c>
      <c r="B358" s="34" t="s">
        <v>48</v>
      </c>
      <c r="C358" s="35" t="s">
        <v>48</v>
      </c>
      <c r="D358" s="35" t="s">
        <v>61</v>
      </c>
      <c r="E358" s="34" t="s">
        <v>641</v>
      </c>
      <c r="F358" s="35" t="s">
        <v>48</v>
      </c>
      <c r="G358" s="34" t="s">
        <v>48</v>
      </c>
      <c r="H358" s="34" t="s">
        <v>48</v>
      </c>
      <c r="I358" s="35" t="n">
        <v>3.0</v>
      </c>
      <c r="J358" s="35"/>
      <c r="K358" s="37" t="n">
        <v>1.5</v>
      </c>
    </row>
    <row r="359">
      <c r="A359" s="35" t="s">
        <v>48</v>
      </c>
      <c r="B359" s="34" t="s">
        <v>48</v>
      </c>
      <c r="C359" s="35" t="s">
        <v>48</v>
      </c>
      <c r="D359" s="35" t="s">
        <v>48</v>
      </c>
      <c r="E359" s="34" t="s">
        <v>48</v>
      </c>
      <c r="F359" s="35" t="n">
        <v>0.0</v>
      </c>
      <c r="G359" s="34" t="s">
        <v>642</v>
      </c>
      <c r="H359" s="34" t="s">
        <v>48</v>
      </c>
      <c r="I359" s="35"/>
      <c r="J359" s="35"/>
      <c r="K359" s="37"/>
    </row>
    <row r="360">
      <c r="A360" s="35" t="s">
        <v>48</v>
      </c>
      <c r="B360" s="34" t="s">
        <v>48</v>
      </c>
      <c r="C360" s="35" t="s">
        <v>48</v>
      </c>
      <c r="D360" s="35" t="s">
        <v>48</v>
      </c>
      <c r="E360" s="34" t="s">
        <v>48</v>
      </c>
      <c r="F360" s="35" t="n">
        <v>1.0</v>
      </c>
      <c r="G360" s="34" t="s">
        <v>643</v>
      </c>
      <c r="H360" s="34" t="s">
        <v>48</v>
      </c>
      <c r="I360" s="35"/>
      <c r="J360" s="35"/>
      <c r="K360" s="37"/>
    </row>
    <row r="361">
      <c r="A361" s="35" t="s">
        <v>48</v>
      </c>
      <c r="B361" s="34" t="s">
        <v>48</v>
      </c>
      <c r="C361" s="35" t="s">
        <v>48</v>
      </c>
      <c r="D361" s="35" t="s">
        <v>48</v>
      </c>
      <c r="E361" s="34" t="s">
        <v>48</v>
      </c>
      <c r="F361" s="35" t="n">
        <v>2.0</v>
      </c>
      <c r="G361" s="34" t="s">
        <v>644</v>
      </c>
      <c r="H361" s="34" t="s">
        <v>48</v>
      </c>
      <c r="I361" s="35"/>
      <c r="J361" s="35"/>
      <c r="K361" s="37"/>
    </row>
    <row r="362">
      <c r="A362" s="35" t="s">
        <v>48</v>
      </c>
      <c r="B362" s="34" t="s">
        <v>48</v>
      </c>
      <c r="C362" s="35" t="s">
        <v>48</v>
      </c>
      <c r="D362" s="35" t="s">
        <v>48</v>
      </c>
      <c r="E362" s="34" t="s">
        <v>48</v>
      </c>
      <c r="F362" s="35" t="n">
        <v>3.0</v>
      </c>
      <c r="G362" s="34" t="s">
        <v>645</v>
      </c>
      <c r="H362" s="34" t="s">
        <v>48</v>
      </c>
      <c r="I362" s="35"/>
      <c r="J362" s="35"/>
      <c r="K362" s="37"/>
    </row>
    <row r="363">
      <c r="A363" s="35" t="s">
        <v>48</v>
      </c>
      <c r="B363" s="34" t="s">
        <v>48</v>
      </c>
      <c r="C363" s="35" t="s">
        <v>48</v>
      </c>
      <c r="D363" s="35" t="s">
        <v>48</v>
      </c>
      <c r="E363" s="34" t="s">
        <v>48</v>
      </c>
      <c r="F363" s="35" t="s">
        <v>48</v>
      </c>
      <c r="G363" s="34" t="s">
        <v>48</v>
      </c>
      <c r="H363" s="34" t="s">
        <v>48</v>
      </c>
      <c r="I363" s="35"/>
      <c r="J363" s="35"/>
      <c r="K363" s="37"/>
    </row>
    <row r="364">
      <c r="A364" s="35" t="s">
        <v>48</v>
      </c>
      <c r="B364" s="34" t="s">
        <v>48</v>
      </c>
      <c r="C364" s="35" t="s">
        <v>48</v>
      </c>
      <c r="D364" s="35" t="s">
        <v>48</v>
      </c>
      <c r="E364" s="34" t="s">
        <v>48</v>
      </c>
      <c r="F364" s="35" t="s">
        <v>48</v>
      </c>
      <c r="G364" s="34" t="s">
        <v>48</v>
      </c>
      <c r="H364" s="34" t="s">
        <v>48</v>
      </c>
      <c r="I364" s="35"/>
      <c r="J364" s="35"/>
      <c r="K364" s="37"/>
    </row>
    <row r="365">
      <c r="A365" s="100" t="s">
        <v>15</v>
      </c>
      <c r="B365" s="101" t="s">
        <v>16</v>
      </c>
      <c r="C365" s="102" t="s">
        <v>10</v>
      </c>
      <c r="D365" s="103" t="s">
        <v>6</v>
      </c>
      <c r="E365" s="104" t="s">
        <v>1</v>
      </c>
      <c r="F365" s="105" t="s">
        <v>2</v>
      </c>
      <c r="G365" s="106" t="s">
        <v>8</v>
      </c>
      <c r="H365" s="107" t="s">
        <v>9</v>
      </c>
      <c r="I365" s="108" t="s">
        <v>23</v>
      </c>
      <c r="J365" s="109" t="s">
        <v>11</v>
      </c>
      <c r="K365" s="110" t="s">
        <v>3</v>
      </c>
      <c r="L365" s="111" t="s">
        <v>646</v>
      </c>
      <c r="M365" s="112" t="s">
        <v>4</v>
      </c>
      <c r="N365" s="113">
        <f>SUM(K366:K422)</f>
      </c>
    </row>
    <row r="366">
      <c r="A366" s="35" t="s">
        <v>647</v>
      </c>
      <c r="B366" s="34" t="s">
        <v>648</v>
      </c>
      <c r="C366" s="35" t="s">
        <v>49</v>
      </c>
      <c r="D366" s="34" t="s">
        <v>48</v>
      </c>
      <c r="E366" s="34" t="s">
        <v>48</v>
      </c>
      <c r="F366" s="34" t="s">
        <v>48</v>
      </c>
      <c r="G366" s="34" t="s">
        <v>48</v>
      </c>
      <c r="H366" s="34" t="s">
        <v>48</v>
      </c>
      <c r="I366" s="34" t="s">
        <v>48</v>
      </c>
      <c r="J366" s="34" t="s">
        <v>48</v>
      </c>
      <c r="K366" s="34" t="s">
        <v>48</v>
      </c>
    </row>
    <row r="367">
      <c r="A367" s="35" t="s">
        <v>48</v>
      </c>
      <c r="B367" s="34" t="s">
        <v>48</v>
      </c>
      <c r="C367" s="35" t="s">
        <v>48</v>
      </c>
      <c r="D367" s="35" t="s">
        <v>50</v>
      </c>
      <c r="E367" s="34" t="s">
        <v>649</v>
      </c>
      <c r="F367" s="35" t="s">
        <v>48</v>
      </c>
      <c r="G367" s="34" t="s">
        <v>650</v>
      </c>
      <c r="H367" s="34" t="s">
        <v>48</v>
      </c>
      <c r="I367" s="35" t="n">
        <v>1.0</v>
      </c>
      <c r="J367" s="35"/>
      <c r="K367" s="37" t="n">
        <v>0.5</v>
      </c>
    </row>
    <row r="368">
      <c r="A368" s="35" t="s">
        <v>48</v>
      </c>
      <c r="B368" s="34" t="s">
        <v>48</v>
      </c>
      <c r="C368" s="35" t="s">
        <v>48</v>
      </c>
      <c r="D368" s="35" t="s">
        <v>50</v>
      </c>
      <c r="E368" s="34" t="s">
        <v>651</v>
      </c>
      <c r="F368" s="35" t="s">
        <v>48</v>
      </c>
      <c r="G368" s="34" t="s">
        <v>652</v>
      </c>
      <c r="H368" s="34" t="s">
        <v>48</v>
      </c>
      <c r="I368" s="35" t="n">
        <v>1.0</v>
      </c>
      <c r="J368" s="35"/>
      <c r="K368" s="37" t="n">
        <v>0.75</v>
      </c>
    </row>
    <row r="369">
      <c r="A369" s="35" t="s">
        <v>48</v>
      </c>
      <c r="B369" s="34" t="s">
        <v>48</v>
      </c>
      <c r="C369" s="35" t="s">
        <v>48</v>
      </c>
      <c r="D369" s="35" t="s">
        <v>50</v>
      </c>
      <c r="E369" s="34" t="s">
        <v>653</v>
      </c>
      <c r="F369" s="35" t="s">
        <v>48</v>
      </c>
      <c r="G369" s="34" t="s">
        <v>654</v>
      </c>
      <c r="H369" s="34" t="s">
        <v>48</v>
      </c>
      <c r="I369" s="35" t="n">
        <v>1.0</v>
      </c>
      <c r="J369" s="35"/>
      <c r="K369" s="37" t="n">
        <v>0.25</v>
      </c>
    </row>
    <row r="370">
      <c r="A370" s="35" t="s">
        <v>48</v>
      </c>
      <c r="B370" s="34" t="s">
        <v>48</v>
      </c>
      <c r="C370" s="35" t="s">
        <v>48</v>
      </c>
      <c r="D370" s="35" t="s">
        <v>50</v>
      </c>
      <c r="E370" s="34" t="s">
        <v>655</v>
      </c>
      <c r="F370" s="35" t="s">
        <v>48</v>
      </c>
      <c r="G370" s="34" t="s">
        <v>656</v>
      </c>
      <c r="H370" s="34" t="s">
        <v>48</v>
      </c>
      <c r="I370" s="35" t="n">
        <v>1.0</v>
      </c>
      <c r="J370" s="35"/>
      <c r="K370" s="37" t="n">
        <v>0.25</v>
      </c>
    </row>
    <row r="371">
      <c r="A371" s="35" t="s">
        <v>657</v>
      </c>
      <c r="B371" s="34" t="s">
        <v>658</v>
      </c>
      <c r="C371" s="35" t="s">
        <v>49</v>
      </c>
      <c r="D371" s="34" t="s">
        <v>48</v>
      </c>
      <c r="E371" s="34" t="s">
        <v>48</v>
      </c>
      <c r="F371" s="34" t="s">
        <v>48</v>
      </c>
      <c r="G371" s="34" t="s">
        <v>48</v>
      </c>
      <c r="H371" s="34" t="s">
        <v>48</v>
      </c>
      <c r="I371" s="34" t="s">
        <v>48</v>
      </c>
      <c r="J371" s="34" t="s">
        <v>48</v>
      </c>
      <c r="K371" s="34" t="s">
        <v>48</v>
      </c>
    </row>
    <row r="372">
      <c r="A372" s="35" t="s">
        <v>48</v>
      </c>
      <c r="B372" s="34" t="s">
        <v>48</v>
      </c>
      <c r="C372" s="35" t="s">
        <v>48</v>
      </c>
      <c r="D372" s="35" t="s">
        <v>50</v>
      </c>
      <c r="E372" s="34" t="s">
        <v>659</v>
      </c>
      <c r="F372" s="35" t="s">
        <v>48</v>
      </c>
      <c r="G372" s="34" t="s">
        <v>660</v>
      </c>
      <c r="H372" s="34" t="s">
        <v>48</v>
      </c>
      <c r="I372" s="35" t="n">
        <v>4.0</v>
      </c>
      <c r="J372" s="35"/>
      <c r="K372" s="37" t="n">
        <v>0.25</v>
      </c>
    </row>
    <row r="373">
      <c r="A373" s="35" t="s">
        <v>48</v>
      </c>
      <c r="B373" s="34" t="s">
        <v>48</v>
      </c>
      <c r="C373" s="35" t="s">
        <v>48</v>
      </c>
      <c r="D373" s="35" t="s">
        <v>50</v>
      </c>
      <c r="E373" s="34" t="s">
        <v>661</v>
      </c>
      <c r="F373" s="35" t="s">
        <v>48</v>
      </c>
      <c r="G373" s="34" t="s">
        <v>662</v>
      </c>
      <c r="H373" s="34" t="s">
        <v>48</v>
      </c>
      <c r="I373" s="35" t="n">
        <v>3.0</v>
      </c>
      <c r="J373" s="35"/>
      <c r="K373" s="37" t="n">
        <v>0.25</v>
      </c>
    </row>
    <row r="374">
      <c r="A374" s="35" t="s">
        <v>48</v>
      </c>
      <c r="B374" s="34" t="s">
        <v>48</v>
      </c>
      <c r="C374" s="35" t="s">
        <v>48</v>
      </c>
      <c r="D374" s="35" t="s">
        <v>50</v>
      </c>
      <c r="E374" s="34" t="s">
        <v>663</v>
      </c>
      <c r="F374" s="35" t="s">
        <v>48</v>
      </c>
      <c r="G374" s="34" t="s">
        <v>664</v>
      </c>
      <c r="H374" s="34" t="s">
        <v>48</v>
      </c>
      <c r="I374" s="35" t="n">
        <v>3.0</v>
      </c>
      <c r="J374" s="35"/>
      <c r="K374" s="37" t="n">
        <v>0.5</v>
      </c>
    </row>
    <row r="375">
      <c r="A375" s="35" t="s">
        <v>48</v>
      </c>
      <c r="B375" s="34" t="s">
        <v>48</v>
      </c>
      <c r="C375" s="35" t="s">
        <v>48</v>
      </c>
      <c r="D375" s="35" t="s">
        <v>50</v>
      </c>
      <c r="E375" s="34" t="s">
        <v>665</v>
      </c>
      <c r="F375" s="35" t="s">
        <v>48</v>
      </c>
      <c r="G375" s="34" t="s">
        <v>666</v>
      </c>
      <c r="H375" s="34" t="s">
        <v>48</v>
      </c>
      <c r="I375" s="35" t="n">
        <v>3.0</v>
      </c>
      <c r="J375" s="35"/>
      <c r="K375" s="37" t="n">
        <v>0.25</v>
      </c>
    </row>
    <row r="376">
      <c r="A376" s="35" t="s">
        <v>48</v>
      </c>
      <c r="B376" s="34" t="s">
        <v>48</v>
      </c>
      <c r="C376" s="35" t="s">
        <v>48</v>
      </c>
      <c r="D376" s="35" t="s">
        <v>50</v>
      </c>
      <c r="E376" s="34" t="s">
        <v>667</v>
      </c>
      <c r="F376" s="35" t="s">
        <v>48</v>
      </c>
      <c r="G376" s="34" t="s">
        <v>668</v>
      </c>
      <c r="H376" s="34" t="s">
        <v>48</v>
      </c>
      <c r="I376" s="35" t="n">
        <v>4.0</v>
      </c>
      <c r="J376" s="35"/>
      <c r="K376" s="37" t="n">
        <v>0.5</v>
      </c>
    </row>
    <row r="377">
      <c r="A377" s="35" t="s">
        <v>669</v>
      </c>
      <c r="B377" s="34" t="s">
        <v>670</v>
      </c>
      <c r="C377" s="35" t="s">
        <v>49</v>
      </c>
      <c r="D377" s="34" t="s">
        <v>48</v>
      </c>
      <c r="E377" s="34" t="s">
        <v>48</v>
      </c>
      <c r="F377" s="34" t="s">
        <v>48</v>
      </c>
      <c r="G377" s="34" t="s">
        <v>48</v>
      </c>
      <c r="H377" s="34" t="s">
        <v>48</v>
      </c>
      <c r="I377" s="34" t="s">
        <v>48</v>
      </c>
      <c r="J377" s="34" t="s">
        <v>48</v>
      </c>
      <c r="K377" s="34" t="s">
        <v>48</v>
      </c>
    </row>
    <row r="378">
      <c r="A378" s="35" t="s">
        <v>48</v>
      </c>
      <c r="B378" s="34" t="s">
        <v>48</v>
      </c>
      <c r="C378" s="35" t="s">
        <v>48</v>
      </c>
      <c r="D378" s="35" t="s">
        <v>50</v>
      </c>
      <c r="E378" s="34" t="s">
        <v>671</v>
      </c>
      <c r="F378" s="35" t="s">
        <v>48</v>
      </c>
      <c r="G378" s="34" t="s">
        <v>672</v>
      </c>
      <c r="H378" s="34" t="s">
        <v>48</v>
      </c>
      <c r="I378" s="35" t="n">
        <v>3.0</v>
      </c>
      <c r="J378" s="35"/>
      <c r="K378" s="37" t="n">
        <v>0.5</v>
      </c>
    </row>
    <row r="379">
      <c r="A379" s="35" t="s">
        <v>48</v>
      </c>
      <c r="B379" s="34" t="s">
        <v>48</v>
      </c>
      <c r="C379" s="35" t="s">
        <v>48</v>
      </c>
      <c r="D379" s="35" t="s">
        <v>50</v>
      </c>
      <c r="E379" s="34" t="s">
        <v>673</v>
      </c>
      <c r="F379" s="35" t="s">
        <v>48</v>
      </c>
      <c r="G379" s="34" t="s">
        <v>674</v>
      </c>
      <c r="H379" s="34" t="s">
        <v>48</v>
      </c>
      <c r="I379" s="35" t="n">
        <v>3.0</v>
      </c>
      <c r="J379" s="35"/>
      <c r="K379" s="37" t="n">
        <v>0.5</v>
      </c>
    </row>
    <row r="380">
      <c r="A380" s="35" t="s">
        <v>48</v>
      </c>
      <c r="B380" s="34" t="s">
        <v>48</v>
      </c>
      <c r="C380" s="35" t="s">
        <v>48</v>
      </c>
      <c r="D380" s="35" t="s">
        <v>50</v>
      </c>
      <c r="E380" s="34" t="s">
        <v>675</v>
      </c>
      <c r="F380" s="35" t="s">
        <v>48</v>
      </c>
      <c r="G380" s="34" t="s">
        <v>676</v>
      </c>
      <c r="H380" s="34" t="s">
        <v>48</v>
      </c>
      <c r="I380" s="35" t="n">
        <v>4.0</v>
      </c>
      <c r="J380" s="35"/>
      <c r="K380" s="37" t="n">
        <v>0.5</v>
      </c>
    </row>
    <row r="381">
      <c r="A381" s="35" t="s">
        <v>677</v>
      </c>
      <c r="B381" s="34" t="s">
        <v>678</v>
      </c>
      <c r="C381" s="35" t="s">
        <v>49</v>
      </c>
      <c r="D381" s="34" t="s">
        <v>48</v>
      </c>
      <c r="E381" s="34" t="s">
        <v>48</v>
      </c>
      <c r="F381" s="34" t="s">
        <v>48</v>
      </c>
      <c r="G381" s="34" t="s">
        <v>48</v>
      </c>
      <c r="H381" s="34" t="s">
        <v>48</v>
      </c>
      <c r="I381" s="34" t="s">
        <v>48</v>
      </c>
      <c r="J381" s="34" t="s">
        <v>48</v>
      </c>
      <c r="K381" s="34" t="s">
        <v>48</v>
      </c>
    </row>
    <row r="382">
      <c r="A382" s="35" t="s">
        <v>48</v>
      </c>
      <c r="B382" s="34" t="s">
        <v>48</v>
      </c>
      <c r="C382" s="35" t="s">
        <v>48</v>
      </c>
      <c r="D382" s="35" t="s">
        <v>50</v>
      </c>
      <c r="E382" s="34" t="s">
        <v>679</v>
      </c>
      <c r="F382" s="35" t="s">
        <v>48</v>
      </c>
      <c r="G382" s="34" t="s">
        <v>680</v>
      </c>
      <c r="H382" s="34" t="s">
        <v>48</v>
      </c>
      <c r="I382" s="35" t="n">
        <v>3.0</v>
      </c>
      <c r="J382" s="35"/>
      <c r="K382" s="37" t="n">
        <v>0.5</v>
      </c>
    </row>
    <row r="383">
      <c r="A383" s="35" t="s">
        <v>48</v>
      </c>
      <c r="B383" s="34" t="s">
        <v>48</v>
      </c>
      <c r="C383" s="35" t="s">
        <v>48</v>
      </c>
      <c r="D383" s="35" t="s">
        <v>50</v>
      </c>
      <c r="E383" s="34" t="s">
        <v>681</v>
      </c>
      <c r="F383" s="35" t="s">
        <v>48</v>
      </c>
      <c r="G383" s="34" t="s">
        <v>682</v>
      </c>
      <c r="H383" s="34" t="s">
        <v>48</v>
      </c>
      <c r="I383" s="35" t="n">
        <v>4.0</v>
      </c>
      <c r="J383" s="35"/>
      <c r="K383" s="37" t="n">
        <v>1.0</v>
      </c>
    </row>
    <row r="384">
      <c r="A384" s="35" t="s">
        <v>48</v>
      </c>
      <c r="B384" s="34" t="s">
        <v>48</v>
      </c>
      <c r="C384" s="35" t="s">
        <v>48</v>
      </c>
      <c r="D384" s="35" t="s">
        <v>50</v>
      </c>
      <c r="E384" s="34" t="s">
        <v>683</v>
      </c>
      <c r="F384" s="35" t="s">
        <v>48</v>
      </c>
      <c r="G384" s="34" t="s">
        <v>684</v>
      </c>
      <c r="H384" s="34" t="s">
        <v>48</v>
      </c>
      <c r="I384" s="35" t="n">
        <v>3.0</v>
      </c>
      <c r="J384" s="35"/>
      <c r="K384" s="37" t="n">
        <v>0.5</v>
      </c>
    </row>
    <row r="385">
      <c r="A385" s="35" t="s">
        <v>685</v>
      </c>
      <c r="B385" s="34" t="s">
        <v>686</v>
      </c>
      <c r="C385" s="35" t="s">
        <v>49</v>
      </c>
      <c r="D385" s="34" t="s">
        <v>48</v>
      </c>
      <c r="E385" s="34" t="s">
        <v>48</v>
      </c>
      <c r="F385" s="34" t="s">
        <v>48</v>
      </c>
      <c r="G385" s="34" t="s">
        <v>48</v>
      </c>
      <c r="H385" s="34" t="s">
        <v>48</v>
      </c>
      <c r="I385" s="34" t="s">
        <v>48</v>
      </c>
      <c r="J385" s="34" t="s">
        <v>48</v>
      </c>
      <c r="K385" s="34" t="s">
        <v>48</v>
      </c>
    </row>
    <row r="386">
      <c r="A386" s="35" t="s">
        <v>48</v>
      </c>
      <c r="B386" s="34" t="s">
        <v>48</v>
      </c>
      <c r="C386" s="35" t="s">
        <v>48</v>
      </c>
      <c r="D386" s="35" t="s">
        <v>50</v>
      </c>
      <c r="E386" s="34" t="s">
        <v>687</v>
      </c>
      <c r="F386" s="35" t="s">
        <v>48</v>
      </c>
      <c r="G386" s="34" t="s">
        <v>688</v>
      </c>
      <c r="H386" s="34" t="s">
        <v>48</v>
      </c>
      <c r="I386" s="35" t="n">
        <v>4.0</v>
      </c>
      <c r="J386" s="35"/>
      <c r="K386" s="37" t="n">
        <v>1.0</v>
      </c>
    </row>
    <row r="387">
      <c r="A387" s="35" t="s">
        <v>48</v>
      </c>
      <c r="B387" s="34" t="s">
        <v>48</v>
      </c>
      <c r="C387" s="35" t="s">
        <v>48</v>
      </c>
      <c r="D387" s="35" t="s">
        <v>50</v>
      </c>
      <c r="E387" s="34" t="s">
        <v>689</v>
      </c>
      <c r="F387" s="35" t="s">
        <v>48</v>
      </c>
      <c r="G387" s="34" t="s">
        <v>690</v>
      </c>
      <c r="H387" s="34" t="s">
        <v>48</v>
      </c>
      <c r="I387" s="35" t="n">
        <v>3.0</v>
      </c>
      <c r="J387" s="35"/>
      <c r="K387" s="37" t="n">
        <v>0.75</v>
      </c>
    </row>
    <row r="388">
      <c r="A388" s="35" t="s">
        <v>48</v>
      </c>
      <c r="B388" s="34" t="s">
        <v>48</v>
      </c>
      <c r="C388" s="35" t="s">
        <v>48</v>
      </c>
      <c r="D388" s="35" t="s">
        <v>50</v>
      </c>
      <c r="E388" s="34" t="s">
        <v>691</v>
      </c>
      <c r="F388" s="35" t="s">
        <v>48</v>
      </c>
      <c r="G388" s="34" t="s">
        <v>692</v>
      </c>
      <c r="H388" s="34" t="s">
        <v>48</v>
      </c>
      <c r="I388" s="35" t="n">
        <v>4.0</v>
      </c>
      <c r="J388" s="35"/>
      <c r="K388" s="37" t="n">
        <v>1.0</v>
      </c>
    </row>
    <row r="389">
      <c r="A389" s="35" t="s">
        <v>48</v>
      </c>
      <c r="B389" s="34" t="s">
        <v>48</v>
      </c>
      <c r="C389" s="35" t="s">
        <v>48</v>
      </c>
      <c r="D389" s="35" t="s">
        <v>50</v>
      </c>
      <c r="E389" s="34" t="s">
        <v>693</v>
      </c>
      <c r="F389" s="35" t="s">
        <v>48</v>
      </c>
      <c r="G389" s="34" t="s">
        <v>694</v>
      </c>
      <c r="H389" s="34" t="s">
        <v>48</v>
      </c>
      <c r="I389" s="35" t="n">
        <v>3.0</v>
      </c>
      <c r="J389" s="35"/>
      <c r="K389" s="37" t="n">
        <v>0.25</v>
      </c>
    </row>
    <row r="390">
      <c r="A390" s="35" t="s">
        <v>695</v>
      </c>
      <c r="B390" s="34" t="s">
        <v>696</v>
      </c>
      <c r="C390" s="35" t="s">
        <v>49</v>
      </c>
      <c r="D390" s="34" t="s">
        <v>48</v>
      </c>
      <c r="E390" s="34" t="s">
        <v>48</v>
      </c>
      <c r="F390" s="34" t="s">
        <v>48</v>
      </c>
      <c r="G390" s="34" t="s">
        <v>48</v>
      </c>
      <c r="H390" s="34" t="s">
        <v>48</v>
      </c>
      <c r="I390" s="34" t="s">
        <v>48</v>
      </c>
      <c r="J390" s="34" t="s">
        <v>48</v>
      </c>
      <c r="K390" s="34" t="s">
        <v>48</v>
      </c>
    </row>
    <row r="391">
      <c r="A391" s="35" t="s">
        <v>48</v>
      </c>
      <c r="B391" s="34" t="s">
        <v>48</v>
      </c>
      <c r="C391" s="35" t="s">
        <v>48</v>
      </c>
      <c r="D391" s="35" t="s">
        <v>50</v>
      </c>
      <c r="E391" s="34" t="s">
        <v>697</v>
      </c>
      <c r="F391" s="35" t="s">
        <v>48</v>
      </c>
      <c r="G391" s="34" t="s">
        <v>698</v>
      </c>
      <c r="H391" s="34" t="s">
        <v>48</v>
      </c>
      <c r="I391" s="35" t="n">
        <v>3.0</v>
      </c>
      <c r="J391" s="35"/>
      <c r="K391" s="37" t="n">
        <v>0.5</v>
      </c>
    </row>
    <row r="392">
      <c r="A392" s="35" t="s">
        <v>48</v>
      </c>
      <c r="B392" s="34" t="s">
        <v>48</v>
      </c>
      <c r="C392" s="35" t="s">
        <v>48</v>
      </c>
      <c r="D392" s="35" t="s">
        <v>50</v>
      </c>
      <c r="E392" s="34" t="s">
        <v>699</v>
      </c>
      <c r="F392" s="35" t="s">
        <v>48</v>
      </c>
      <c r="G392" s="34" t="s">
        <v>700</v>
      </c>
      <c r="H392" s="34" t="s">
        <v>48</v>
      </c>
      <c r="I392" s="35" t="n">
        <v>4.0</v>
      </c>
      <c r="J392" s="35"/>
      <c r="K392" s="37" t="n">
        <v>0.5</v>
      </c>
    </row>
    <row r="393">
      <c r="A393" s="35" t="s">
        <v>48</v>
      </c>
      <c r="B393" s="34" t="s">
        <v>48</v>
      </c>
      <c r="C393" s="35" t="s">
        <v>48</v>
      </c>
      <c r="D393" s="35" t="s">
        <v>50</v>
      </c>
      <c r="E393" s="34" t="s">
        <v>701</v>
      </c>
      <c r="F393" s="35" t="s">
        <v>48</v>
      </c>
      <c r="G393" s="34" t="s">
        <v>702</v>
      </c>
      <c r="H393" s="34" t="s">
        <v>48</v>
      </c>
      <c r="I393" s="35" t="n">
        <v>3.0</v>
      </c>
      <c r="J393" s="35"/>
      <c r="K393" s="37" t="n">
        <v>0.5</v>
      </c>
    </row>
    <row r="394">
      <c r="A394" s="35" t="s">
        <v>703</v>
      </c>
      <c r="B394" s="34" t="s">
        <v>704</v>
      </c>
      <c r="C394" s="35" t="s">
        <v>49</v>
      </c>
      <c r="D394" s="34" t="s">
        <v>48</v>
      </c>
      <c r="E394" s="34" t="s">
        <v>48</v>
      </c>
      <c r="F394" s="34" t="s">
        <v>48</v>
      </c>
      <c r="G394" s="34" t="s">
        <v>48</v>
      </c>
      <c r="H394" s="34" t="s">
        <v>48</v>
      </c>
      <c r="I394" s="34" t="s">
        <v>48</v>
      </c>
      <c r="J394" s="34" t="s">
        <v>48</v>
      </c>
      <c r="K394" s="34" t="s">
        <v>48</v>
      </c>
    </row>
    <row r="395">
      <c r="A395" s="35" t="s">
        <v>48</v>
      </c>
      <c r="B395" s="34" t="s">
        <v>48</v>
      </c>
      <c r="C395" s="35" t="s">
        <v>48</v>
      </c>
      <c r="D395" s="35" t="s">
        <v>50</v>
      </c>
      <c r="E395" s="34" t="s">
        <v>705</v>
      </c>
      <c r="F395" s="35" t="s">
        <v>48</v>
      </c>
      <c r="G395" s="34" t="s">
        <v>706</v>
      </c>
      <c r="H395" s="34" t="s">
        <v>48</v>
      </c>
      <c r="I395" s="35" t="n">
        <v>3.0</v>
      </c>
      <c r="J395" s="35"/>
      <c r="K395" s="37" t="n">
        <v>0.5</v>
      </c>
    </row>
    <row r="396">
      <c r="A396" s="35" t="s">
        <v>48</v>
      </c>
      <c r="B396" s="34" t="s">
        <v>48</v>
      </c>
      <c r="C396" s="35" t="s">
        <v>48</v>
      </c>
      <c r="D396" s="35" t="s">
        <v>50</v>
      </c>
      <c r="E396" s="34" t="s">
        <v>707</v>
      </c>
      <c r="F396" s="35" t="s">
        <v>48</v>
      </c>
      <c r="G396" s="34" t="s">
        <v>708</v>
      </c>
      <c r="H396" s="34" t="s">
        <v>48</v>
      </c>
      <c r="I396" s="35" t="n">
        <v>3.0</v>
      </c>
      <c r="J396" s="35"/>
      <c r="K396" s="37" t="n">
        <v>0.25</v>
      </c>
    </row>
    <row r="397">
      <c r="A397" s="35" t="s">
        <v>48</v>
      </c>
      <c r="B397" s="34" t="s">
        <v>48</v>
      </c>
      <c r="C397" s="35" t="s">
        <v>48</v>
      </c>
      <c r="D397" s="35" t="s">
        <v>50</v>
      </c>
      <c r="E397" s="34" t="s">
        <v>709</v>
      </c>
      <c r="F397" s="35" t="s">
        <v>48</v>
      </c>
      <c r="G397" s="34" t="s">
        <v>710</v>
      </c>
      <c r="H397" s="34" t="s">
        <v>48</v>
      </c>
      <c r="I397" s="35" t="n">
        <v>3.0</v>
      </c>
      <c r="J397" s="35"/>
      <c r="K397" s="37" t="n">
        <v>0.5</v>
      </c>
    </row>
    <row r="398">
      <c r="A398" s="35" t="s">
        <v>48</v>
      </c>
      <c r="B398" s="34" t="s">
        <v>48</v>
      </c>
      <c r="C398" s="35" t="s">
        <v>48</v>
      </c>
      <c r="D398" s="35" t="s">
        <v>50</v>
      </c>
      <c r="E398" s="34" t="s">
        <v>711</v>
      </c>
      <c r="F398" s="35" t="s">
        <v>48</v>
      </c>
      <c r="G398" s="34" t="s">
        <v>712</v>
      </c>
      <c r="H398" s="34" t="s">
        <v>48</v>
      </c>
      <c r="I398" s="35" t="n">
        <v>3.0</v>
      </c>
      <c r="J398" s="35"/>
      <c r="K398" s="37" t="n">
        <v>0.25</v>
      </c>
    </row>
    <row r="399">
      <c r="A399" s="35" t="s">
        <v>713</v>
      </c>
      <c r="B399" s="34" t="s">
        <v>714</v>
      </c>
      <c r="C399" s="35" t="s">
        <v>49</v>
      </c>
      <c r="D399" s="34" t="s">
        <v>48</v>
      </c>
      <c r="E399" s="34" t="s">
        <v>48</v>
      </c>
      <c r="F399" s="34" t="s">
        <v>48</v>
      </c>
      <c r="G399" s="34" t="s">
        <v>48</v>
      </c>
      <c r="H399" s="34" t="s">
        <v>48</v>
      </c>
      <c r="I399" s="34" t="s">
        <v>48</v>
      </c>
      <c r="J399" s="34" t="s">
        <v>48</v>
      </c>
      <c r="K399" s="34" t="s">
        <v>48</v>
      </c>
    </row>
    <row r="400">
      <c r="A400" s="35" t="s">
        <v>48</v>
      </c>
      <c r="B400" s="34" t="s">
        <v>48</v>
      </c>
      <c r="C400" s="35" t="s">
        <v>48</v>
      </c>
      <c r="D400" s="35" t="s">
        <v>50</v>
      </c>
      <c r="E400" s="34" t="s">
        <v>715</v>
      </c>
      <c r="F400" s="35" t="s">
        <v>48</v>
      </c>
      <c r="G400" s="34" t="s">
        <v>716</v>
      </c>
      <c r="H400" s="34" t="s">
        <v>48</v>
      </c>
      <c r="I400" s="35" t="n">
        <v>4.0</v>
      </c>
      <c r="J400" s="35"/>
      <c r="K400" s="37" t="n">
        <v>0.25</v>
      </c>
    </row>
    <row r="401">
      <c r="A401" s="35" t="s">
        <v>48</v>
      </c>
      <c r="B401" s="34" t="s">
        <v>48</v>
      </c>
      <c r="C401" s="35" t="s">
        <v>48</v>
      </c>
      <c r="D401" s="35" t="s">
        <v>50</v>
      </c>
      <c r="E401" s="34" t="s">
        <v>717</v>
      </c>
      <c r="F401" s="35" t="s">
        <v>48</v>
      </c>
      <c r="G401" s="34" t="s">
        <v>718</v>
      </c>
      <c r="H401" s="34" t="s">
        <v>48</v>
      </c>
      <c r="I401" s="35" t="n">
        <v>4.0</v>
      </c>
      <c r="J401" s="35"/>
      <c r="K401" s="37" t="n">
        <v>0.25</v>
      </c>
    </row>
    <row r="402">
      <c r="A402" s="35" t="s">
        <v>48</v>
      </c>
      <c r="B402" s="34" t="s">
        <v>48</v>
      </c>
      <c r="C402" s="35" t="s">
        <v>48</v>
      </c>
      <c r="D402" s="35" t="s">
        <v>50</v>
      </c>
      <c r="E402" s="34" t="s">
        <v>719</v>
      </c>
      <c r="F402" s="35" t="s">
        <v>48</v>
      </c>
      <c r="G402" s="34" t="s">
        <v>720</v>
      </c>
      <c r="H402" s="34" t="s">
        <v>48</v>
      </c>
      <c r="I402" s="35" t="n">
        <v>4.0</v>
      </c>
      <c r="J402" s="35"/>
      <c r="K402" s="37" t="n">
        <v>0.25</v>
      </c>
    </row>
    <row r="403">
      <c r="A403" s="35" t="s">
        <v>721</v>
      </c>
      <c r="B403" s="34" t="s">
        <v>722</v>
      </c>
      <c r="C403" s="35" t="s">
        <v>49</v>
      </c>
      <c r="D403" s="34" t="s">
        <v>48</v>
      </c>
      <c r="E403" s="34" t="s">
        <v>48</v>
      </c>
      <c r="F403" s="34" t="s">
        <v>48</v>
      </c>
      <c r="G403" s="34" t="s">
        <v>48</v>
      </c>
      <c r="H403" s="34" t="s">
        <v>48</v>
      </c>
      <c r="I403" s="34" t="s">
        <v>48</v>
      </c>
      <c r="J403" s="34" t="s">
        <v>48</v>
      </c>
      <c r="K403" s="34" t="s">
        <v>48</v>
      </c>
    </row>
    <row r="404">
      <c r="A404" s="35" t="s">
        <v>48</v>
      </c>
      <c r="B404" s="34" t="s">
        <v>48</v>
      </c>
      <c r="C404" s="35" t="s">
        <v>48</v>
      </c>
      <c r="D404" s="35" t="s">
        <v>50</v>
      </c>
      <c r="E404" s="34" t="s">
        <v>723</v>
      </c>
      <c r="F404" s="35" t="s">
        <v>48</v>
      </c>
      <c r="G404" s="34" t="s">
        <v>724</v>
      </c>
      <c r="H404" s="34" t="s">
        <v>48</v>
      </c>
      <c r="I404" s="35" t="n">
        <v>4.0</v>
      </c>
      <c r="J404" s="35"/>
      <c r="K404" s="37" t="n">
        <v>0.25</v>
      </c>
    </row>
    <row r="405">
      <c r="A405" s="35" t="s">
        <v>48</v>
      </c>
      <c r="B405" s="34" t="s">
        <v>48</v>
      </c>
      <c r="C405" s="35" t="s">
        <v>48</v>
      </c>
      <c r="D405" s="35" t="s">
        <v>50</v>
      </c>
      <c r="E405" s="34" t="s">
        <v>725</v>
      </c>
      <c r="F405" s="35" t="s">
        <v>48</v>
      </c>
      <c r="G405" s="34" t="s">
        <v>726</v>
      </c>
      <c r="H405" s="34" t="s">
        <v>48</v>
      </c>
      <c r="I405" s="35" t="n">
        <v>4.0</v>
      </c>
      <c r="J405" s="35"/>
      <c r="K405" s="37" t="n">
        <v>0.25</v>
      </c>
    </row>
    <row r="406">
      <c r="A406" s="35" t="s">
        <v>727</v>
      </c>
      <c r="B406" s="34" t="s">
        <v>728</v>
      </c>
      <c r="C406" s="35" t="s">
        <v>49</v>
      </c>
      <c r="D406" s="34" t="s">
        <v>48</v>
      </c>
      <c r="E406" s="34" t="s">
        <v>48</v>
      </c>
      <c r="F406" s="34" t="s">
        <v>48</v>
      </c>
      <c r="G406" s="34" t="s">
        <v>48</v>
      </c>
      <c r="H406" s="34" t="s">
        <v>48</v>
      </c>
      <c r="I406" s="34" t="s">
        <v>48</v>
      </c>
      <c r="J406" s="34" t="s">
        <v>48</v>
      </c>
      <c r="K406" s="34" t="s">
        <v>48</v>
      </c>
    </row>
    <row r="407">
      <c r="A407" s="35" t="s">
        <v>48</v>
      </c>
      <c r="B407" s="34" t="s">
        <v>48</v>
      </c>
      <c r="C407" s="35" t="s">
        <v>48</v>
      </c>
      <c r="D407" s="35" t="s">
        <v>50</v>
      </c>
      <c r="E407" s="34" t="s">
        <v>729</v>
      </c>
      <c r="F407" s="35" t="s">
        <v>48</v>
      </c>
      <c r="G407" s="34" t="s">
        <v>730</v>
      </c>
      <c r="H407" s="34" t="s">
        <v>48</v>
      </c>
      <c r="I407" s="35" t="n">
        <v>4.0</v>
      </c>
      <c r="J407" s="35"/>
      <c r="K407" s="37" t="n">
        <v>0.5</v>
      </c>
    </row>
    <row r="408">
      <c r="A408" s="35" t="s">
        <v>48</v>
      </c>
      <c r="B408" s="34" t="s">
        <v>48</v>
      </c>
      <c r="C408" s="35" t="s">
        <v>48</v>
      </c>
      <c r="D408" s="35" t="s">
        <v>50</v>
      </c>
      <c r="E408" s="34" t="s">
        <v>731</v>
      </c>
      <c r="F408" s="35" t="s">
        <v>48</v>
      </c>
      <c r="G408" s="34" t="s">
        <v>732</v>
      </c>
      <c r="H408" s="34" t="s">
        <v>48</v>
      </c>
      <c r="I408" s="35" t="n">
        <v>2.0</v>
      </c>
      <c r="J408" s="35"/>
      <c r="K408" s="37" t="n">
        <v>0.5</v>
      </c>
    </row>
    <row r="409">
      <c r="A409" s="35" t="s">
        <v>48</v>
      </c>
      <c r="B409" s="34" t="s">
        <v>48</v>
      </c>
      <c r="C409" s="35" t="s">
        <v>48</v>
      </c>
      <c r="D409" s="35" t="s">
        <v>50</v>
      </c>
      <c r="E409" s="34" t="s">
        <v>733</v>
      </c>
      <c r="F409" s="35" t="s">
        <v>48</v>
      </c>
      <c r="G409" s="34" t="s">
        <v>734</v>
      </c>
      <c r="H409" s="34" t="s">
        <v>48</v>
      </c>
      <c r="I409" s="35" t="n">
        <v>2.0</v>
      </c>
      <c r="J409" s="35"/>
      <c r="K409" s="37" t="n">
        <v>0.5</v>
      </c>
    </row>
    <row r="410">
      <c r="A410" s="35" t="s">
        <v>735</v>
      </c>
      <c r="B410" s="34" t="s">
        <v>736</v>
      </c>
      <c r="C410" s="35" t="s">
        <v>49</v>
      </c>
      <c r="D410" s="34" t="s">
        <v>48</v>
      </c>
      <c r="E410" s="34" t="s">
        <v>48</v>
      </c>
      <c r="F410" s="34" t="s">
        <v>48</v>
      </c>
      <c r="G410" s="34" t="s">
        <v>48</v>
      </c>
      <c r="H410" s="34" t="s">
        <v>48</v>
      </c>
      <c r="I410" s="34" t="s">
        <v>48</v>
      </c>
      <c r="J410" s="34" t="s">
        <v>48</v>
      </c>
      <c r="K410" s="34" t="s">
        <v>48</v>
      </c>
    </row>
    <row r="411">
      <c r="A411" s="35" t="s">
        <v>48</v>
      </c>
      <c r="B411" s="34" t="s">
        <v>48</v>
      </c>
      <c r="C411" s="35" t="s">
        <v>48</v>
      </c>
      <c r="D411" s="35" t="s">
        <v>61</v>
      </c>
      <c r="E411" s="34" t="s">
        <v>737</v>
      </c>
      <c r="F411" s="35" t="s">
        <v>48</v>
      </c>
      <c r="G411" s="34" t="s">
        <v>48</v>
      </c>
      <c r="H411" s="34" t="s">
        <v>48</v>
      </c>
      <c r="I411" s="35" t="n">
        <v>3.0</v>
      </c>
      <c r="J411" s="35"/>
      <c r="K411" s="37" t="n">
        <v>0.75</v>
      </c>
    </row>
    <row r="412">
      <c r="A412" s="35" t="s">
        <v>48</v>
      </c>
      <c r="B412" s="34" t="s">
        <v>48</v>
      </c>
      <c r="C412" s="35" t="s">
        <v>48</v>
      </c>
      <c r="D412" s="35" t="s">
        <v>48</v>
      </c>
      <c r="E412" s="34" t="s">
        <v>48</v>
      </c>
      <c r="F412" s="35" t="n">
        <v>0.0</v>
      </c>
      <c r="G412" s="34" t="s">
        <v>738</v>
      </c>
      <c r="H412" s="34" t="s">
        <v>48</v>
      </c>
      <c r="I412" s="35"/>
      <c r="J412" s="35"/>
      <c r="K412" s="37"/>
    </row>
    <row r="413">
      <c r="A413" s="35" t="s">
        <v>48</v>
      </c>
      <c r="B413" s="34" t="s">
        <v>48</v>
      </c>
      <c r="C413" s="35" t="s">
        <v>48</v>
      </c>
      <c r="D413" s="35" t="s">
        <v>48</v>
      </c>
      <c r="E413" s="34" t="s">
        <v>48</v>
      </c>
      <c r="F413" s="35" t="n">
        <v>1.0</v>
      </c>
      <c r="G413" s="34" t="s">
        <v>739</v>
      </c>
      <c r="H413" s="34" t="s">
        <v>48</v>
      </c>
      <c r="I413" s="35"/>
      <c r="J413" s="35"/>
      <c r="K413" s="37"/>
    </row>
    <row r="414">
      <c r="A414" s="35" t="s">
        <v>48</v>
      </c>
      <c r="B414" s="34" t="s">
        <v>48</v>
      </c>
      <c r="C414" s="35" t="s">
        <v>48</v>
      </c>
      <c r="D414" s="35" t="s">
        <v>48</v>
      </c>
      <c r="E414" s="34" t="s">
        <v>48</v>
      </c>
      <c r="F414" s="35" t="n">
        <v>2.0</v>
      </c>
      <c r="G414" s="34" t="s">
        <v>740</v>
      </c>
      <c r="H414" s="34" t="s">
        <v>48</v>
      </c>
      <c r="I414" s="35"/>
      <c r="J414" s="35"/>
      <c r="K414" s="37"/>
    </row>
    <row r="415">
      <c r="A415" s="35" t="s">
        <v>48</v>
      </c>
      <c r="B415" s="34" t="s">
        <v>48</v>
      </c>
      <c r="C415" s="35" t="s">
        <v>48</v>
      </c>
      <c r="D415" s="35" t="s">
        <v>48</v>
      </c>
      <c r="E415" s="34" t="s">
        <v>48</v>
      </c>
      <c r="F415" s="35" t="n">
        <v>3.0</v>
      </c>
      <c r="G415" s="34" t="s">
        <v>741</v>
      </c>
      <c r="H415" s="34" t="s">
        <v>48</v>
      </c>
      <c r="I415" s="35"/>
      <c r="J415" s="35"/>
      <c r="K415" s="37"/>
    </row>
    <row r="416">
      <c r="A416" s="35" t="s">
        <v>48</v>
      </c>
      <c r="B416" s="34" t="s">
        <v>48</v>
      </c>
      <c r="C416" s="35" t="s">
        <v>48</v>
      </c>
      <c r="D416" s="35" t="s">
        <v>61</v>
      </c>
      <c r="E416" s="34" t="s">
        <v>742</v>
      </c>
      <c r="F416" s="35" t="s">
        <v>48</v>
      </c>
      <c r="G416" s="34" t="s">
        <v>48</v>
      </c>
      <c r="H416" s="34" t="s">
        <v>48</v>
      </c>
      <c r="I416" s="35" t="n">
        <v>3.0</v>
      </c>
      <c r="J416" s="35"/>
      <c r="K416" s="37" t="n">
        <v>0.5</v>
      </c>
    </row>
    <row r="417">
      <c r="A417" s="35" t="s">
        <v>48</v>
      </c>
      <c r="B417" s="34" t="s">
        <v>48</v>
      </c>
      <c r="C417" s="35" t="s">
        <v>48</v>
      </c>
      <c r="D417" s="35" t="s">
        <v>48</v>
      </c>
      <c r="E417" s="34" t="s">
        <v>48</v>
      </c>
      <c r="F417" s="35" t="n">
        <v>0.0</v>
      </c>
      <c r="G417" s="34" t="s">
        <v>743</v>
      </c>
      <c r="H417" s="34" t="s">
        <v>48</v>
      </c>
      <c r="I417" s="35"/>
      <c r="J417" s="35"/>
      <c r="K417" s="37"/>
    </row>
    <row r="418">
      <c r="A418" s="35" t="s">
        <v>48</v>
      </c>
      <c r="B418" s="34" t="s">
        <v>48</v>
      </c>
      <c r="C418" s="35" t="s">
        <v>48</v>
      </c>
      <c r="D418" s="35" t="s">
        <v>48</v>
      </c>
      <c r="E418" s="34" t="s">
        <v>48</v>
      </c>
      <c r="F418" s="35" t="n">
        <v>1.0</v>
      </c>
      <c r="G418" s="34" t="s">
        <v>744</v>
      </c>
      <c r="H418" s="34" t="s">
        <v>48</v>
      </c>
      <c r="I418" s="35"/>
      <c r="J418" s="35"/>
      <c r="K418" s="37"/>
    </row>
    <row r="419">
      <c r="A419" s="35" t="s">
        <v>48</v>
      </c>
      <c r="B419" s="34" t="s">
        <v>48</v>
      </c>
      <c r="C419" s="35" t="s">
        <v>48</v>
      </c>
      <c r="D419" s="35" t="s">
        <v>48</v>
      </c>
      <c r="E419" s="34" t="s">
        <v>48</v>
      </c>
      <c r="F419" s="35" t="n">
        <v>2.0</v>
      </c>
      <c r="G419" s="34" t="s">
        <v>745</v>
      </c>
      <c r="H419" s="34" t="s">
        <v>48</v>
      </c>
      <c r="I419" s="35"/>
      <c r="J419" s="35"/>
      <c r="K419" s="37"/>
    </row>
    <row r="420">
      <c r="A420" s="35" t="s">
        <v>48</v>
      </c>
      <c r="B420" s="34" t="s">
        <v>48</v>
      </c>
      <c r="C420" s="35" t="s">
        <v>48</v>
      </c>
      <c r="D420" s="35" t="s">
        <v>48</v>
      </c>
      <c r="E420" s="34" t="s">
        <v>48</v>
      </c>
      <c r="F420" s="35" t="n">
        <v>3.0</v>
      </c>
      <c r="G420" s="34" t="s">
        <v>746</v>
      </c>
      <c r="H420" s="34" t="s">
        <v>48</v>
      </c>
      <c r="I420" s="35"/>
      <c r="J420" s="35"/>
      <c r="K420" s="37"/>
    </row>
    <row r="421">
      <c r="A421" s="35" t="s">
        <v>48</v>
      </c>
      <c r="B421" s="34" t="s">
        <v>48</v>
      </c>
      <c r="C421" s="35" t="s">
        <v>48</v>
      </c>
      <c r="D421" s="35" t="s">
        <v>48</v>
      </c>
      <c r="E421" s="34" t="s">
        <v>48</v>
      </c>
      <c r="F421" s="35" t="s">
        <v>48</v>
      </c>
      <c r="G421" s="34" t="s">
        <v>48</v>
      </c>
      <c r="H421" s="34" t="s">
        <v>48</v>
      </c>
      <c r="I421" s="35"/>
      <c r="J421" s="35"/>
      <c r="K421" s="37"/>
    </row>
    <row r="422">
      <c r="A422" s="35" t="s">
        <v>48</v>
      </c>
      <c r="B422" s="34" t="s">
        <v>48</v>
      </c>
      <c r="C422" s="35" t="s">
        <v>48</v>
      </c>
      <c r="D422" s="35" t="s">
        <v>48</v>
      </c>
      <c r="E422" s="34" t="s">
        <v>48</v>
      </c>
      <c r="F422" s="35" t="s">
        <v>48</v>
      </c>
      <c r="G422" s="34" t="s">
        <v>48</v>
      </c>
      <c r="H422" s="34" t="s">
        <v>48</v>
      </c>
      <c r="I422" s="35"/>
      <c r="J422" s="35"/>
      <c r="K422" s="37"/>
    </row>
    <row r="423">
      <c r="A423" s="114" t="s">
        <v>15</v>
      </c>
      <c r="B423" s="115" t="s">
        <v>16</v>
      </c>
      <c r="C423" s="116" t="s">
        <v>10</v>
      </c>
      <c r="D423" s="117" t="s">
        <v>6</v>
      </c>
      <c r="E423" s="118" t="s">
        <v>1</v>
      </c>
      <c r="F423" s="119" t="s">
        <v>2</v>
      </c>
      <c r="G423" s="120" t="s">
        <v>8</v>
      </c>
      <c r="H423" s="121" t="s">
        <v>9</v>
      </c>
      <c r="I423" s="122" t="s">
        <v>23</v>
      </c>
      <c r="J423" s="123" t="s">
        <v>11</v>
      </c>
      <c r="K423" s="124" t="s">
        <v>3</v>
      </c>
      <c r="L423" s="125" t="s">
        <v>747</v>
      </c>
      <c r="M423" s="126" t="s">
        <v>4</v>
      </c>
      <c r="N423" s="127">
        <f>SUM(K424:K428)</f>
      </c>
    </row>
    <row r="424">
      <c r="A424" s="35" t="s">
        <v>748</v>
      </c>
      <c r="B424" s="34" t="s">
        <v>749</v>
      </c>
      <c r="C424" s="35" t="s">
        <v>750</v>
      </c>
      <c r="D424" s="34" t="s">
        <v>48</v>
      </c>
      <c r="E424" s="34" t="s">
        <v>48</v>
      </c>
      <c r="F424" s="34" t="s">
        <v>48</v>
      </c>
      <c r="G424" s="34" t="s">
        <v>48</v>
      </c>
      <c r="H424" s="34" t="s">
        <v>48</v>
      </c>
      <c r="I424" s="34" t="s">
        <v>48</v>
      </c>
      <c r="J424" s="34" t="s">
        <v>48</v>
      </c>
      <c r="K424" s="34" t="s">
        <v>48</v>
      </c>
    </row>
    <row r="425">
      <c r="A425" s="35" t="s">
        <v>48</v>
      </c>
      <c r="B425" s="34" t="s">
        <v>48</v>
      </c>
      <c r="C425" s="35" t="s">
        <v>48</v>
      </c>
      <c r="D425" s="35" t="s">
        <v>50</v>
      </c>
      <c r="E425" s="34" t="s">
        <v>751</v>
      </c>
      <c r="F425" s="35" t="s">
        <v>48</v>
      </c>
      <c r="G425" s="34" t="s">
        <v>48</v>
      </c>
      <c r="H425" s="34" t="s">
        <v>48</v>
      </c>
      <c r="I425" s="35" t="n">
        <v>1.0</v>
      </c>
      <c r="J425" s="35"/>
      <c r="K425" s="37" t="n">
        <v>2.0</v>
      </c>
    </row>
    <row r="426">
      <c r="A426" s="35" t="s">
        <v>48</v>
      </c>
      <c r="B426" s="34" t="s">
        <v>48</v>
      </c>
      <c r="C426" s="35" t="s">
        <v>48</v>
      </c>
      <c r="D426" s="35" t="s">
        <v>50</v>
      </c>
      <c r="E426" s="34" t="s">
        <v>752</v>
      </c>
      <c r="F426" s="35" t="s">
        <v>48</v>
      </c>
      <c r="G426" s="34" t="s">
        <v>753</v>
      </c>
      <c r="H426" s="34" t="s">
        <v>48</v>
      </c>
      <c r="I426" s="35" t="n">
        <v>2.0</v>
      </c>
      <c r="J426" s="35"/>
      <c r="K426" s="37" t="n">
        <v>2.0</v>
      </c>
    </row>
    <row r="427">
      <c r="A427" s="35" t="s">
        <v>48</v>
      </c>
      <c r="B427" s="34" t="s">
        <v>48</v>
      </c>
      <c r="C427" s="35" t="s">
        <v>48</v>
      </c>
      <c r="D427" s="35" t="s">
        <v>48</v>
      </c>
      <c r="E427" s="34" t="s">
        <v>48</v>
      </c>
      <c r="F427" s="35" t="s">
        <v>48</v>
      </c>
      <c r="G427" s="34" t="s">
        <v>48</v>
      </c>
      <c r="H427" s="34" t="s">
        <v>48</v>
      </c>
      <c r="I427" s="35"/>
      <c r="J427" s="35"/>
      <c r="K427" s="37"/>
    </row>
    <row r="428">
      <c r="A428" s="35" t="s">
        <v>48</v>
      </c>
      <c r="B428" s="34" t="s">
        <v>48</v>
      </c>
      <c r="C428" s="35" t="s">
        <v>48</v>
      </c>
      <c r="D428" s="35" t="s">
        <v>48</v>
      </c>
      <c r="E428" s="34" t="s">
        <v>48</v>
      </c>
      <c r="F428" s="35" t="s">
        <v>48</v>
      </c>
      <c r="G428" s="34" t="s">
        <v>48</v>
      </c>
      <c r="H428" s="34" t="s">
        <v>48</v>
      </c>
      <c r="I428" s="35"/>
      <c r="J428" s="35"/>
      <c r="K428" s="37"/>
    </row>
    <row r="429">
      <c r="A429" s="128" t="s">
        <v>15</v>
      </c>
      <c r="B429" s="129" t="s">
        <v>16</v>
      </c>
      <c r="C429" s="130" t="s">
        <v>10</v>
      </c>
      <c r="D429" s="131" t="s">
        <v>6</v>
      </c>
      <c r="E429" s="132" t="s">
        <v>1</v>
      </c>
      <c r="F429" s="133" t="s">
        <v>2</v>
      </c>
      <c r="G429" s="134" t="s">
        <v>8</v>
      </c>
      <c r="H429" s="135" t="s">
        <v>9</v>
      </c>
      <c r="I429" s="136" t="s">
        <v>23</v>
      </c>
      <c r="J429" s="137" t="s">
        <v>11</v>
      </c>
      <c r="K429" s="138" t="s">
        <v>3</v>
      </c>
      <c r="L429" s="139" t="s">
        <v>754</v>
      </c>
      <c r="M429" s="140" t="s">
        <v>4</v>
      </c>
      <c r="N429" s="141">
        <f>SUM(K430:K431)</f>
      </c>
    </row>
    <row r="430">
      <c r="A430" s="35" t="s">
        <v>48</v>
      </c>
      <c r="B430" s="34" t="s">
        <v>48</v>
      </c>
      <c r="C430" s="35" t="s">
        <v>48</v>
      </c>
      <c r="D430" s="35" t="s">
        <v>48</v>
      </c>
      <c r="E430" s="34" t="s">
        <v>48</v>
      </c>
      <c r="F430" s="35" t="s">
        <v>48</v>
      </c>
      <c r="G430" s="34" t="s">
        <v>48</v>
      </c>
      <c r="H430" s="34" t="s">
        <v>48</v>
      </c>
      <c r="I430" s="35"/>
      <c r="J430" s="35"/>
      <c r="K430" s="37"/>
    </row>
    <row r="431">
      <c r="A431" s="35" t="s">
        <v>48</v>
      </c>
      <c r="B431" s="34" t="s">
        <v>48</v>
      </c>
      <c r="C431" s="35" t="s">
        <v>48</v>
      </c>
      <c r="D431" s="35" t="s">
        <v>48</v>
      </c>
      <c r="E431" s="34" t="s">
        <v>48</v>
      </c>
      <c r="F431" s="35" t="s">
        <v>48</v>
      </c>
      <c r="G431" s="34" t="s">
        <v>48</v>
      </c>
      <c r="H431" s="34" t="s">
        <v>48</v>
      </c>
      <c r="I431" s="35"/>
      <c r="J431" s="35"/>
      <c r="K431" s="37"/>
    </row>
    <row r="432">
      <c r="A432" s="142" t="s">
        <v>15</v>
      </c>
      <c r="B432" s="143" t="s">
        <v>16</v>
      </c>
      <c r="C432" s="144" t="s">
        <v>10</v>
      </c>
      <c r="D432" s="145" t="s">
        <v>6</v>
      </c>
      <c r="E432" s="146" t="s">
        <v>1</v>
      </c>
      <c r="F432" s="147" t="s">
        <v>2</v>
      </c>
      <c r="G432" s="148" t="s">
        <v>8</v>
      </c>
      <c r="H432" s="149" t="s">
        <v>9</v>
      </c>
      <c r="I432" s="150" t="s">
        <v>23</v>
      </c>
      <c r="J432" s="151" t="s">
        <v>11</v>
      </c>
      <c r="K432" s="152" t="s">
        <v>3</v>
      </c>
      <c r="L432" s="153" t="s">
        <v>755</v>
      </c>
      <c r="M432" s="154" t="s">
        <v>4</v>
      </c>
      <c r="N432" s="155">
        <f>SUM(K433:K434)</f>
      </c>
    </row>
    <row r="433">
      <c r="A433" s="35" t="s">
        <v>48</v>
      </c>
      <c r="B433" s="34" t="s">
        <v>48</v>
      </c>
      <c r="C433" s="35" t="s">
        <v>48</v>
      </c>
      <c r="D433" s="35" t="s">
        <v>48</v>
      </c>
      <c r="E433" s="34" t="s">
        <v>48</v>
      </c>
      <c r="F433" s="35" t="s">
        <v>48</v>
      </c>
      <c r="G433" s="34" t="s">
        <v>48</v>
      </c>
      <c r="H433" s="34" t="s">
        <v>48</v>
      </c>
      <c r="I433" s="35"/>
      <c r="J433" s="35"/>
      <c r="K433" s="37"/>
    </row>
    <row r="434">
      <c r="A434" s="38" t="s">
        <v>48</v>
      </c>
      <c r="B434" s="38" t="s">
        <v>48</v>
      </c>
      <c r="C434" s="38" t="s">
        <v>48</v>
      </c>
      <c r="D434" s="38" t="s">
        <v>48</v>
      </c>
      <c r="E434" s="38" t="s">
        <v>48</v>
      </c>
      <c r="F434" s="38" t="s">
        <v>48</v>
      </c>
      <c r="G434" s="38" t="s">
        <v>48</v>
      </c>
      <c r="H434" s="38" t="s">
        <v>48</v>
      </c>
      <c r="I434" s="38" t="s">
        <v>48</v>
      </c>
      <c r="J434" s="38" t="s">
        <v>48</v>
      </c>
      <c r="K434" s="38" t="s">
        <v>48</v>
      </c>
    </row>
    <row r="437" spans="1:14" ht="42" x14ac:dyDescent="0.15">
      <c r="L437" s="5" t="s">
        <v>5</v>
      </c>
      <c r="M437" s="6" t="s">
        <v>4</v>
      </c>
      <c r="N437" s="7">
        <f>SUM(N1:N435)</f>
      </c>
    </row>
  </sheetData>
  <mergeCells count="35">
    <mergeCell ref="B4:H4"/>
    <mergeCell ref="A3:K3"/>
    <mergeCell ref="A1:K1"/>
    <mergeCell ref="B5:H5"/>
    <mergeCell ref="B6:H6"/>
    <mergeCell ref="B7:H7"/>
    <mergeCell ref="B8:H8"/>
    <mergeCell ref="A13:K13"/>
    <mergeCell ref="B14:J14"/>
    <mergeCell ref="I10:J10"/>
    <mergeCell ref="B9:H9"/>
    <mergeCell ref="B15:J15"/>
    <mergeCell ref="B16:J16"/>
    <mergeCell ref="B17:J17"/>
    <mergeCell ref="B18:J18"/>
    <mergeCell ref="B19:J19"/>
    <mergeCell ref="B20:J20"/>
    <mergeCell ref="B21:J21"/>
    <mergeCell ref="B22:J22"/>
    <mergeCell ref="B23:J23"/>
  </mergeCells>
  <phoneticPr fontId="1" type="noConversion"/>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3" x14ac:dyDescent="0.15"/>
  <cols>
    <col min="1" max="1" customWidth="true" style="1" width="21.33203125"/>
    <col min="2" max="2" customWidth="true" style="1" width="28.6640625"/>
    <col min="3" max="3" customWidth="true" style="1" width="7.1640625"/>
    <col min="4" max="4" customWidth="true" style="1" width="69.5"/>
    <col min="5" max="16384" style="1" width="8.83203125"/>
  </cols>
  <sheetData/>
  <pageMargins left="0.39000000000000007" right="0.39000000000000007" top="0.87" bottom="0.59" header="0.2" footer="0.2"/>
  <pageSetup paperSize="9" orientation="landscape" r:id="rId1"/>
  <headerFooter>
    <oddHeader>&amp;R&amp;G</oddHeader>
    <oddFooter><![CDATA[&L&8Sheet: &A
File: &F&C&8Version: 
Date: &R&8&P of &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Company>WorldSkills International Secretariat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2010-04-27T04:25:00Z</dcterms:created>
  <dc:creator>Adam Walsh</dc:creator>
  <cp:lastModifiedBy>Microsoft Office User</cp:lastModifiedBy>
  <cp:lastPrinted>2010-04-28T04:08:36Z</cp:lastPrinted>
  <dcterms:modified xsi:type="dcterms:W3CDTF">2022-03-24T02:45:09Z</dcterms:modified>
</cp:coreProperties>
</file>